
<file path=[Content_Types].xml><?xml version="1.0" encoding="utf-8"?>
<Types xmlns="http://schemas.openxmlformats.org/package/2006/content-types">
  <Default Extension="png" ContentType="image/png"/>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IVAN\Downloads\"/>
    </mc:Choice>
  </mc:AlternateContent>
  <xr:revisionPtr revIDLastSave="0" documentId="8_{FF6853C9-64DA-4FF6-9F60-298729576B84}" xr6:coauthVersionLast="47" xr6:coauthVersionMax="47" xr10:uidLastSave="{00000000-0000-0000-0000-000000000000}"/>
  <bookViews>
    <workbookView xWindow="-108" yWindow="-108" windowWidth="23256" windowHeight="12576" tabRatio="500" activeTab="6" xr2:uid="{00000000-000D-0000-FFFF-FFFF00000000}"/>
  </bookViews>
  <sheets>
    <sheet name="Listado de riesgos" sheetId="1" r:id="rId1"/>
    <sheet name="PRR 1" sheetId="2" r:id="rId2"/>
    <sheet name="PRR 2" sheetId="3" r:id="rId3"/>
    <sheet name="PRR 3" sheetId="4" r:id="rId4"/>
    <sheet name="PRR 4" sheetId="5" r:id="rId5"/>
    <sheet name="PRR 5" sheetId="6" r:id="rId6"/>
    <sheet name="PRR 6" sheetId="7" r:id="rId7"/>
  </sheets>
  <definedNames>
    <definedName name="_xlnm.Print_Area" localSheetId="1">'PRR 1'!$A$1:$H$41</definedName>
    <definedName name="_xlnm.Database">#REF!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7" i="1" l="1"/>
  <c r="I7" i="1"/>
  <c r="M35" i="1"/>
  <c r="I35" i="1"/>
  <c r="G35" i="1"/>
  <c r="K35" i="1" s="1"/>
  <c r="M34" i="1"/>
  <c r="I34" i="1"/>
  <c r="G34" i="1"/>
  <c r="K34" i="1" s="1"/>
  <c r="M33" i="1"/>
  <c r="I33" i="1"/>
  <c r="G33" i="1"/>
  <c r="K33" i="1" s="1"/>
  <c r="M32" i="1"/>
  <c r="I32" i="1"/>
  <c r="G32" i="1"/>
  <c r="K32" i="1" s="1"/>
  <c r="M31" i="1"/>
  <c r="I31" i="1"/>
  <c r="G31" i="1"/>
  <c r="K31" i="1" s="1"/>
  <c r="M30" i="1"/>
  <c r="I30" i="1"/>
  <c r="G30" i="1"/>
  <c r="K30" i="1" s="1"/>
  <c r="M29" i="1"/>
  <c r="I29" i="1"/>
  <c r="G29" i="1"/>
  <c r="K29" i="1" s="1"/>
  <c r="M28" i="1"/>
  <c r="I28" i="1"/>
  <c r="G28" i="1"/>
  <c r="K28" i="1" s="1"/>
  <c r="M27" i="1"/>
  <c r="I27" i="1"/>
  <c r="G27" i="1"/>
  <c r="K27" i="1" s="1"/>
  <c r="M26" i="1"/>
  <c r="I26" i="1"/>
  <c r="G26" i="1"/>
  <c r="K26" i="1" s="1"/>
  <c r="M25" i="1"/>
  <c r="I25" i="1"/>
  <c r="G25" i="1"/>
  <c r="K25" i="1" s="1"/>
  <c r="M24" i="1"/>
  <c r="I24" i="1"/>
  <c r="G24" i="1"/>
  <c r="K24" i="1" s="1"/>
  <c r="M23" i="1"/>
  <c r="I23" i="1"/>
  <c r="G23" i="1"/>
  <c r="K23" i="1" s="1"/>
  <c r="M22" i="1"/>
  <c r="I22" i="1"/>
  <c r="G22" i="1"/>
  <c r="K22" i="1" s="1"/>
  <c r="M21" i="1"/>
  <c r="O21" i="1" s="1"/>
  <c r="I21" i="1"/>
  <c r="G21" i="1"/>
  <c r="K21" i="1" s="1"/>
  <c r="J21" i="1" s="1"/>
  <c r="M20" i="1"/>
  <c r="I20" i="1"/>
  <c r="G20" i="1"/>
  <c r="K20" i="1" s="1"/>
  <c r="M19" i="1"/>
  <c r="I19" i="1"/>
  <c r="G19" i="1"/>
  <c r="K19" i="1" s="1"/>
  <c r="M18" i="1"/>
  <c r="I18" i="1"/>
  <c r="G18" i="1"/>
  <c r="K18" i="1" s="1"/>
  <c r="M17" i="1"/>
  <c r="I17" i="1"/>
  <c r="G17" i="1"/>
  <c r="K17" i="1" s="1"/>
  <c r="M16" i="1"/>
  <c r="I16" i="1"/>
  <c r="G16" i="1"/>
  <c r="K16" i="1" s="1"/>
  <c r="M15" i="1"/>
  <c r="I15" i="1"/>
  <c r="G15" i="1"/>
  <c r="K15" i="1" s="1"/>
  <c r="M14" i="1"/>
  <c r="I14" i="1"/>
  <c r="G14" i="1"/>
  <c r="K14" i="1" s="1"/>
  <c r="M13" i="1"/>
  <c r="O13" i="1" s="1"/>
  <c r="I13" i="1"/>
  <c r="G13" i="1"/>
  <c r="K13" i="1" s="1"/>
  <c r="J13" i="1" s="1"/>
  <c r="M12" i="1"/>
  <c r="I12" i="1"/>
  <c r="G12" i="1"/>
  <c r="K12" i="1" s="1"/>
  <c r="J12" i="1" s="1"/>
  <c r="M11" i="1"/>
  <c r="I11" i="1"/>
  <c r="G11" i="1"/>
  <c r="K11" i="1" s="1"/>
  <c r="J11" i="1" s="1"/>
  <c r="M10" i="1"/>
  <c r="I10" i="1"/>
  <c r="G10" i="1"/>
  <c r="K10" i="1" s="1"/>
  <c r="J10" i="1" s="1"/>
  <c r="M9" i="1"/>
  <c r="O9" i="1" s="1"/>
  <c r="I9" i="1"/>
  <c r="G9" i="1"/>
  <c r="K9" i="1" s="1"/>
  <c r="J9" i="1" s="1"/>
  <c r="M8" i="1"/>
  <c r="I8" i="1"/>
  <c r="G8" i="1"/>
  <c r="K8" i="1" s="1"/>
  <c r="J8" i="1" s="1"/>
  <c r="M7" i="1"/>
  <c r="K7" i="1" l="1"/>
  <c r="J7" i="1" s="1"/>
  <c r="O28" i="1"/>
  <c r="J28" i="1"/>
  <c r="P9" i="1"/>
  <c r="N9" i="1"/>
  <c r="O23" i="1"/>
  <c r="J23" i="1"/>
  <c r="O12" i="1"/>
  <c r="O18" i="1"/>
  <c r="J18" i="1"/>
  <c r="O26" i="1"/>
  <c r="J26" i="1"/>
  <c r="O34" i="1"/>
  <c r="J34" i="1"/>
  <c r="O20" i="1"/>
  <c r="J20" i="1"/>
  <c r="O15" i="1"/>
  <c r="J15" i="1"/>
  <c r="O31" i="1"/>
  <c r="J31" i="1"/>
  <c r="O29" i="1"/>
  <c r="J29" i="1"/>
  <c r="O10" i="1"/>
  <c r="O16" i="1"/>
  <c r="J16" i="1"/>
  <c r="O24" i="1"/>
  <c r="J24" i="1"/>
  <c r="O32" i="1"/>
  <c r="J32" i="1"/>
  <c r="O19" i="1"/>
  <c r="J19" i="1"/>
  <c r="O35" i="1"/>
  <c r="J35" i="1"/>
  <c r="O8" i="1"/>
  <c r="O14" i="1"/>
  <c r="J14" i="1"/>
  <c r="O22" i="1"/>
  <c r="J22" i="1"/>
  <c r="O30" i="1"/>
  <c r="J30" i="1"/>
  <c r="P13" i="1"/>
  <c r="N13" i="1"/>
  <c r="P21" i="1"/>
  <c r="N21" i="1"/>
  <c r="O27" i="1"/>
  <c r="J27" i="1"/>
  <c r="O11" i="1"/>
  <c r="O17" i="1"/>
  <c r="J17" i="1"/>
  <c r="O25" i="1"/>
  <c r="J25" i="1"/>
  <c r="O33" i="1"/>
  <c r="J33" i="1"/>
  <c r="O7" i="1" l="1"/>
  <c r="P16" i="1"/>
  <c r="N16" i="1"/>
  <c r="P30" i="1"/>
  <c r="N30" i="1"/>
  <c r="P12" i="1"/>
  <c r="N12" i="1"/>
  <c r="P20" i="1"/>
  <c r="N20" i="1"/>
  <c r="P10" i="1"/>
  <c r="N10" i="1"/>
  <c r="P19" i="1"/>
  <c r="N19" i="1"/>
  <c r="P27" i="1"/>
  <c r="N27" i="1"/>
  <c r="P22" i="1"/>
  <c r="N22" i="1"/>
  <c r="P29" i="1"/>
  <c r="N29" i="1"/>
  <c r="P23" i="1"/>
  <c r="N23" i="1"/>
  <c r="P15" i="1"/>
  <c r="N15" i="1"/>
  <c r="P32" i="1"/>
  <c r="N32" i="1"/>
  <c r="P7" i="1"/>
  <c r="N7" i="1"/>
  <c r="P34" i="1"/>
  <c r="N34" i="1"/>
  <c r="P35" i="1"/>
  <c r="N35" i="1"/>
  <c r="P17" i="1"/>
  <c r="N17" i="1"/>
  <c r="P11" i="1"/>
  <c r="N11" i="1"/>
  <c r="P25" i="1"/>
  <c r="N25" i="1"/>
  <c r="P8" i="1"/>
  <c r="N8" i="1"/>
  <c r="P24" i="1"/>
  <c r="N24" i="1"/>
  <c r="P31" i="1"/>
  <c r="N31" i="1"/>
  <c r="P26" i="1"/>
  <c r="N26" i="1"/>
  <c r="P18" i="1"/>
  <c r="N18" i="1"/>
  <c r="P33" i="1"/>
  <c r="N33" i="1"/>
  <c r="P14" i="1"/>
  <c r="N14" i="1"/>
  <c r="P28" i="1"/>
  <c r="N28" i="1"/>
</calcChain>
</file>

<file path=xl/sharedStrings.xml><?xml version="1.0" encoding="utf-8"?>
<sst xmlns="http://schemas.openxmlformats.org/spreadsheetml/2006/main" count="578" uniqueCount="230">
  <si>
    <t>MATRIZ DE RIESGOS NEGATIVOS O AMENAZAS</t>
  </si>
  <si>
    <t>Proyecto: SIMVA (Sistema Inteligente de Monitoreo y Ventilación Automática de Calidad del Aire)</t>
  </si>
  <si>
    <t>Versión:</t>
  </si>
  <si>
    <t>Clave protección hoja: GPS</t>
  </si>
  <si>
    <t>Líder de Proyecto: Iván García Garza</t>
  </si>
  <si>
    <t>CLASIF. INFO.</t>
  </si>
  <si>
    <t>General</t>
  </si>
  <si>
    <t>Interna</t>
  </si>
  <si>
    <t>Confidenc</t>
  </si>
  <si>
    <t>Criterios de clasificación</t>
  </si>
  <si>
    <t>Riesgo Núm.</t>
  </si>
  <si>
    <t>Nombre riesgo</t>
  </si>
  <si>
    <t>Resp.</t>
  </si>
  <si>
    <t>Fecha Id.</t>
  </si>
  <si>
    <t>Estado
(A, C, P)</t>
  </si>
  <si>
    <t>Prob
(A, M, B)</t>
  </si>
  <si>
    <t>Puntaje</t>
  </si>
  <si>
    <t>Imp
(A,M,B)</t>
  </si>
  <si>
    <t>Clasif
Cualit</t>
  </si>
  <si>
    <t>Ponderacion</t>
  </si>
  <si>
    <t>Sev
(A,M,B)</t>
  </si>
  <si>
    <t>Clasif
Cuant</t>
  </si>
  <si>
    <t>NPR</t>
  </si>
  <si>
    <t>Plan requrido</t>
  </si>
  <si>
    <t>PRR #</t>
  </si>
  <si>
    <t>Analisis Cualitativo</t>
  </si>
  <si>
    <t>Glosario</t>
  </si>
  <si>
    <t>Retraso en la adquisición del sensor SCD41 u otros componentes</t>
  </si>
  <si>
    <t>Ingrid Araceli Domínguez</t>
  </si>
  <si>
    <t>06-oct-26</t>
  </si>
  <si>
    <t>A</t>
  </si>
  <si>
    <t>a</t>
  </si>
  <si>
    <t>(Caracteristicas y efecto  inmediato)</t>
  </si>
  <si>
    <t>Estado: Cual es el estado del riesgo</t>
  </si>
  <si>
    <t>Lecturas inestables del sensor de frecuencia cardiaca MAX30102 por movimiento</t>
  </si>
  <si>
    <t>Leonardo Nágera</t>
  </si>
  <si>
    <t>m</t>
  </si>
  <si>
    <t>Impacto</t>
  </si>
  <si>
    <t>A: Abierto, el riesgo está latente.</t>
  </si>
  <si>
    <t>Daño del ESP32 por mezcla de voltajes (3.3V lógica / 12V actuadores)</t>
  </si>
  <si>
    <t>b</t>
  </si>
  <si>
    <t>a 3</t>
  </si>
  <si>
    <t>m 2</t>
  </si>
  <si>
    <t>b 1</t>
  </si>
  <si>
    <t>C: Cerrado, la etapa posible del riesgo quedó atrás.</t>
  </si>
  <si>
    <t>Pérdida o desorganización de archivos en el repositorio de GitHub</t>
  </si>
  <si>
    <t>Iván García Garza</t>
  </si>
  <si>
    <t>C</t>
  </si>
  <si>
    <t>Probab.</t>
  </si>
  <si>
    <t>ma 9</t>
  </si>
  <si>
    <t>a 6</t>
  </si>
  <si>
    <t>m 3</t>
  </si>
  <si>
    <t>P: Problema, el riesgo ya se presentó.</t>
  </si>
  <si>
    <t>Retraso de un integrante por carga académica de otras materias</t>
  </si>
  <si>
    <t>m 4</t>
  </si>
  <si>
    <t>b 2</t>
  </si>
  <si>
    <t>Prob: Probabilidad</t>
  </si>
  <si>
    <t>Datos insuficientes acumulados para entrenar el módulo de IA</t>
  </si>
  <si>
    <t>Edgar Esquivel</t>
  </si>
  <si>
    <t>mb 1</t>
  </si>
  <si>
    <t>A: Alta.</t>
  </si>
  <si>
    <t>Falla de la Raspberry Pi o corrupción de la microSD</t>
  </si>
  <si>
    <t>M: Media.</t>
  </si>
  <si>
    <t>Incumplimiento de la fecha de entrega final (3 de diciembre de 2026)</t>
  </si>
  <si>
    <t>Analisis Cuantitativo</t>
  </si>
  <si>
    <t>B: Baja.</t>
  </si>
  <si>
    <t>Falla o quema de la Raspberry Pi durante pruebas o la demostración</t>
  </si>
  <si>
    <t>(Cuantificacion y efecto en objetivos finales)</t>
  </si>
  <si>
    <t>Imp: Impacto (Afectaciones inmediatas del riesgo)</t>
  </si>
  <si>
    <t>Iván se cae de la bicicleta el día de la entrega (llevaba el prototipo en la mochila)</t>
  </si>
  <si>
    <t>Severidad</t>
  </si>
  <si>
    <t>A: Alto.</t>
  </si>
  <si>
    <t>Leonardo ("el presi") se queda atrapado en el tráfico el día de la entrega (llevaba el respaldo por si Iván se caía)</t>
  </si>
  <si>
    <t>M: Medio.</t>
  </si>
  <si>
    <t>Asaltan a Edgar, quien llevaba el último respaldo por si fallaban Iván y Leonardo</t>
  </si>
  <si>
    <t>Clasif Cualit</t>
  </si>
  <si>
    <t>ma 27</t>
  </si>
  <si>
    <t>ma 18</t>
  </si>
  <si>
    <t>a 9</t>
  </si>
  <si>
    <t>B: Bajo.</t>
  </si>
  <si>
    <t>Caída del servicio externo de IA (API tipo ChatGPT) el día de la demostración</t>
  </si>
  <si>
    <t>a 12</t>
  </si>
  <si>
    <t>m 6</t>
  </si>
  <si>
    <t>Clasif Cualit: Clasificacion cualitativa</t>
  </si>
  <si>
    <t>Falla eléctrica o corte de luz en el lugar de la demostración</t>
  </si>
  <si>
    <t>Todo el equipo</t>
  </si>
  <si>
    <t>m 8</t>
  </si>
  <si>
    <t>b 4</t>
  </si>
  <si>
    <t>Sev: Severidad (Afectaciones al objetivo del proyecto)</t>
  </si>
  <si>
    <t>Incompatibilidad de versiones de librerías de Python entre las laptops del equipo</t>
  </si>
  <si>
    <t>b 3</t>
  </si>
  <si>
    <t>mb 2</t>
  </si>
  <si>
    <t>Clasif Cuant: Clasificacion cuantitativa</t>
  </si>
  <si>
    <t>Plan requerido</t>
  </si>
  <si>
    <t>NPR: Número de prioridad del riesgo</t>
  </si>
  <si>
    <t>T</t>
  </si>
  <si>
    <t>E</t>
  </si>
  <si>
    <t>M</t>
  </si>
  <si>
    <t>Plan requerido: Tipo de plan de atención al riesgo requerido.</t>
  </si>
  <si>
    <t>Analisis Cuantit.</t>
  </si>
  <si>
    <t>MA</t>
  </si>
  <si>
    <t>*</t>
  </si>
  <si>
    <t>PRR: Plan de respuesta al riesgo</t>
  </si>
  <si>
    <t>B</t>
  </si>
  <si>
    <t>MB</t>
  </si>
  <si>
    <t>Planes de Atención</t>
  </si>
  <si>
    <t>Tipo</t>
  </si>
  <si>
    <t>Ejemplo</t>
  </si>
  <si>
    <t>Contingencia</t>
  </si>
  <si>
    <t>Fondo o reemplazo de reserva</t>
  </si>
  <si>
    <t>Transferir a un tercero</t>
  </si>
  <si>
    <t>Seguros, finanzas</t>
  </si>
  <si>
    <t>Evitar por medios alternativos</t>
  </si>
  <si>
    <t>Cambio en procedimientos</t>
  </si>
  <si>
    <t>Mitigar probabilidad o impacto</t>
  </si>
  <si>
    <t>Listas de verificación</t>
  </si>
  <si>
    <t>Aceptación</t>
  </si>
  <si>
    <t>Resolver si sucede</t>
  </si>
  <si>
    <t>Plan de Respuesta al Riesgo</t>
  </si>
  <si>
    <t>Proyecto:</t>
  </si>
  <si>
    <t>SIMVA (Sistema Inteligente de Monitoreo y Ventilación Automática)</t>
  </si>
  <si>
    <t>Número de PRR</t>
  </si>
  <si>
    <t>Lider de Proyecto</t>
  </si>
  <si>
    <t>Numero de riesgo</t>
  </si>
  <si>
    <t>Patrocinador:</t>
  </si>
  <si>
    <t>Materia Implementación de IoT (Gpo 503)</t>
  </si>
  <si>
    <t>CLASIFICACION DE INFORMACIÓN</t>
  </si>
  <si>
    <t>Nombre del Riesgo:</t>
  </si>
  <si>
    <t>Retraso en la adquisición del sensor SCD41</t>
  </si>
  <si>
    <t xml:space="preserve">    General</t>
  </si>
  <si>
    <t xml:space="preserve">       Interna</t>
  </si>
  <si>
    <t xml:space="preserve">            Confidencial</t>
  </si>
  <si>
    <t>Descripción del riesgo:</t>
  </si>
  <si>
    <t>El sensor SCD41 se pide a un proveedor externo (Mercado Libre); si se retrasa su entrega, se detiene toda la ruta crítica de la Fase 3 (Ejecución), ya que la configuración del ESP32 y la lectura de sensores dependen de tenerlo en mano.</t>
  </si>
  <si>
    <t>Fecha potencial del riesgo</t>
  </si>
  <si>
    <t>CLASIF. CUANT.</t>
  </si>
  <si>
    <t>PROBABILIDAD:</t>
  </si>
  <si>
    <t>10-oct-26</t>
  </si>
  <si>
    <t>IMPACTO:</t>
  </si>
  <si>
    <t>SEVERIDAD:</t>
  </si>
  <si>
    <t>Areas afectadas</t>
  </si>
  <si>
    <t>Cronograma (ruta crítica del sprint)</t>
  </si>
  <si>
    <t>Calidad de los datos de CO2</t>
  </si>
  <si>
    <t>Consecuencias principales:</t>
  </si>
  <si>
    <t>Atraso de todo el sprint de construcción de 14 días</t>
  </si>
  <si>
    <t>Entrega tardía del prototipo funcional para la demostración interna</t>
  </si>
  <si>
    <t>Posible necesidad de usar un sensor sustituto de menor precisión</t>
  </si>
  <si>
    <t>Acciones propuestas</t>
  </si>
  <si>
    <t>Resp</t>
  </si>
  <si>
    <t>Fecha</t>
  </si>
  <si>
    <t>Estado</t>
  </si>
  <si>
    <t>Ordenar el sensor el mismo día en que se aprueba el Project Charter</t>
  </si>
  <si>
    <t>Ingrid</t>
  </si>
  <si>
    <t>Completado</t>
  </si>
  <si>
    <t>Tener como respaldo el STCC4 (SEN0678) o MH-Z19B + AM2302</t>
  </si>
  <si>
    <t>En espera</t>
  </si>
  <si>
    <t>Dar seguimiento diario al estatus del envío</t>
  </si>
  <si>
    <t>Iván</t>
  </si>
  <si>
    <t>Diario</t>
  </si>
  <si>
    <t>Activo</t>
  </si>
  <si>
    <t>Aprobado por:</t>
  </si>
  <si>
    <t>Fecha:</t>
  </si>
  <si>
    <t>Daño del ESP32 por mezcla de voltajes (3.3V / 12V)</t>
  </si>
  <si>
    <t>El ventilador y el relé operan a 12V mientras el ESP32 trabaja a 3.3V; una conexión incorrecta (sin optoacoplador o sin tierra común) puede dañar permanentemente el microcontrolador prestado por el laboratorio.</t>
  </si>
  <si>
    <t>13-oct-26</t>
  </si>
  <si>
    <t>Hardware (ESP32 prestado por el laboratorio)</t>
  </si>
  <si>
    <t>Cronograma de la Fase 3</t>
  </si>
  <si>
    <t>Pérdida del ESP32 prestado por el laboratorio del colegio</t>
  </si>
  <si>
    <t>Retraso mientras se consigue un reemplazo</t>
  </si>
  <si>
    <t>Posible daño a otros componentes conectados al mismo circuito</t>
  </si>
  <si>
    <t>Usar módulo relé con optoacoplador (ya confirmado en la lista de componentes)</t>
  </si>
  <si>
    <t>Revisar el circuito con un compañero antes de energizarlo por primera vez</t>
  </si>
  <si>
    <t>Pendiente</t>
  </si>
  <si>
    <t>Unir las tierras (GND) de la fuente de 12V y el ESP32 antes de probar</t>
  </si>
  <si>
    <t>Aunque el sprint de construcción es de solo 14 días, un retraso acumulado en tareas de la ruta crítica o imprevistos no resueltos durante las 6 semanas de margen podrían impedir tener el prototipo listo para la demostración final.</t>
  </si>
  <si>
    <t>03-dic-26</t>
  </si>
  <si>
    <t>Calificación del proyecto</t>
  </si>
  <si>
    <t>Cronograma general</t>
  </si>
  <si>
    <t>Entrega incompleta o prototipo no funcional</t>
  </si>
  <si>
    <t>Pérdida de puntos en la evaluación final</t>
  </si>
  <si>
    <t>Presentación final deficiente ante el profesor</t>
  </si>
  <si>
    <t>Revisar el avance contra el diagrama de Gantt cada semana</t>
  </si>
  <si>
    <t>Semanal</t>
  </si>
  <si>
    <t>Usar las tareas con holgura para reasignar recursos si la ruta crítica se atrasa</t>
  </si>
  <si>
    <t>Según se requiera</t>
  </si>
  <si>
    <t>Dejar al menos 1 semana de colchón antes del 3 de dic. para pruebas finales</t>
  </si>
  <si>
    <t>24-nov-26</t>
  </si>
  <si>
    <t>Falla o quema de la Raspberry Pi</t>
  </si>
  <si>
    <t>La Raspberry Pi es el único servidor del sistema (base de datos, API, módulo de IA y dashboard). Un cortocircuito, sobrecalentamiento o falla eléctrica podría dañarla de forma irreversible, dejando sin funcionar el backend completo justo antes o durante la demostración.</t>
  </si>
  <si>
    <t>Servidor y base de datos</t>
  </si>
  <si>
    <t>Demostración final</t>
  </si>
  <si>
    <t>Pérdida total del backend (API, base de datos, IA, dashboard)</t>
  </si>
  <si>
    <t>Imposibilidad de mostrar datos en vivo durante la entrega</t>
  </si>
  <si>
    <t>Costo o trámite de reemplazo del equipo prestado por el laboratorio</t>
  </si>
  <si>
    <t>Respaldar el código y la base de datos en GitHub todos los días, no solo en la Raspberry</t>
  </si>
  <si>
    <t>Edgar</t>
  </si>
  <si>
    <t>Preparar un plan B de demo con datos pregrabados o video si la Raspberry falla ese día</t>
  </si>
  <si>
    <t>01-dic-26</t>
  </si>
  <si>
    <t>Asegurar ventilación adecuada para evitar sobrecalentamiento</t>
  </si>
  <si>
    <t>10, 11, 12</t>
  </si>
  <si>
    <t>Interrupción de la cadena de respaldo para transportar el prototipo</t>
  </si>
  <si>
    <t>El equipo definió una cadena de respaldo para llevar el prototipo físico el día de la entrega: si Iván (que lo transporta primero) sufre un accidente en bicicleta, Leonardo lleva el segundo respaldo; si Leonardo se queda atrapado en el tráfico, Edgar lleva el último respaldo. Riesgo 10: Iván se cae de la bicicleta el día de la entrega, llevando el prototipo en la mochila. Riesgo 11: Leonardo ("el presi") se queda atrapado en el tráfico, llevando el respaldo entregado por si Iván se caía. Riesgo 12: asaltan a Edgar, quien llevaba el último respaldo por si fallaban los dos anteriores. Si fallan los tres pasos de la cadena, el equipo se queda sin prototipo físico el día de la demostración.</t>
  </si>
  <si>
    <t>B/M/B</t>
  </si>
  <si>
    <t>A/M/A</t>
  </si>
  <si>
    <t>Seguridad personal de quien transporta el equipo (prioridad sobre el proyecto)</t>
  </si>
  <si>
    <t>No se puede realizar la demostración en vivo si fallan los 3 pasos de la cadena</t>
  </si>
  <si>
    <t>Posible pérdida total del hardware ya armado</t>
  </si>
  <si>
    <t>En el peor escenario, riesgo a la integridad física de Iván, Leonardo o Edgar</t>
  </si>
  <si>
    <t>Tener el código y la documentación completos en GitHub como entrega mínima garantizada</t>
  </si>
  <si>
    <t>Grabar un video de la demo funcionando como respaldo antes del día de la entrega</t>
  </si>
  <si>
    <t>02-dic-26</t>
  </si>
  <si>
    <t>Salir con margen de tiempo amplio y transportar el prototipo en un case rígido acolchado</t>
  </si>
  <si>
    <t>Iván, Leonardo, Edgar</t>
  </si>
  <si>
    <t>Nota: la seguridad de las personas va primero. Ningún entregable justifica un riesgo físico real; ante un imprevisto grave, se avisa al profesor de inmediato.</t>
  </si>
  <si>
    <t>Caída del servicio externo de IA (API tipo ChatGPT) el día de la demo</t>
  </si>
  <si>
    <t>Si el módulo de IA depende de una API externa para generar explicaciones o resúmenes, una caída de ese servicio justo el día de la demostración dejaría esa función sin responder, aunque el resto del sistema (sensores, base de datos, ventilador) siga funcionando con normalidad.</t>
  </si>
  <si>
    <t>Módulo de IA (parte conversacional)</t>
  </si>
  <si>
    <t>Percepción general de la demostración</t>
  </si>
  <si>
    <t>La función de explicación por IA no responde en vivo</t>
  </si>
  <si>
    <t>Posible impresión de que el sistema completo falla, aunque el resto sí opere</t>
  </si>
  <si>
    <t>Interrupción del flujo de la presentación</t>
  </si>
  <si>
    <t>Guardar en caché la última respuesta exitosa de la IA para mostrarla si el servicio falla</t>
  </si>
  <si>
    <t>Explicar en la presentación qué partes del sistema no dependen de internet</t>
  </si>
  <si>
    <t>Probar la conexión a la API la noche y la mañana antes de la entrega</t>
  </si>
  <si>
    <t>02 y 03-dic-26</t>
  </si>
  <si>
    <t>Implementación de Internet de las Cosas (Gpo 503), Tec de Monterrey Campus Guadalajara</t>
  </si>
  <si>
    <t xml:space="preserve">Preparado por: </t>
  </si>
  <si>
    <t xml:space="preserve">Fecha: </t>
  </si>
  <si>
    <t>Preparado por:</t>
  </si>
  <si>
    <t xml:space="preserve"> Ingrid Araceli Domínguez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</si>
</sst>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mmm"/>
    <numFmt numFmtId="165" formatCode="mmmm\ d&quot;, &quot;yyyy"/>
    <numFmt numFmtId="166" formatCode="d/mm/yy;@"/>
    <numFmt numFmtId="167" formatCode="m/d/yyyy"/>
  </numFmts>
  <fonts count="16">
    <font>
      <sz val="11"/>
      <color theme="1"/>
      <name val="Calibri"/>
      <family val="2"/>
      <charset val="1"/>
    </font>
    <font>
      <sz val="10"/>
      <name val="Geneva"/>
      <charset val="1"/>
    </font>
    <font>
      <sz val="10"/>
      <name val="Arial"/>
      <family val="2"/>
      <charset val="1"/>
    </font>
    <font>
      <b/>
      <sz val="18"/>
      <name val="Arial"/>
      <family val="2"/>
      <charset val="1"/>
    </font>
    <font>
      <b/>
      <sz val="14"/>
      <name val="Arial"/>
      <family val="2"/>
      <charset val="1"/>
    </font>
    <font>
      <b/>
      <sz val="10"/>
      <name val="Arial"/>
      <family val="2"/>
      <charset val="1"/>
    </font>
    <font>
      <b/>
      <sz val="12"/>
      <name val="Arial"/>
      <family val="2"/>
      <charset val="1"/>
    </font>
    <font>
      <b/>
      <sz val="11"/>
      <name val="Arial"/>
      <family val="2"/>
      <charset val="1"/>
    </font>
    <font>
      <b/>
      <sz val="24"/>
      <name val="Arial"/>
      <family val="2"/>
      <charset val="1"/>
    </font>
    <font>
      <i/>
      <sz val="9"/>
      <name val="Arial"/>
      <family val="2"/>
      <charset val="1"/>
    </font>
    <font>
      <sz val="12"/>
      <name val="Arial"/>
      <family val="2"/>
      <charset val="1"/>
    </font>
    <font>
      <b/>
      <sz val="8"/>
      <name val="Arial"/>
      <family val="2"/>
      <charset val="1"/>
    </font>
    <font>
      <sz val="11"/>
      <name val="Arial"/>
      <family val="2"/>
    </font>
    <font>
      <sz val="12"/>
      <name val="Arial"/>
      <family val="2"/>
    </font>
    <font>
      <sz val="9"/>
      <name val="Arial"/>
      <family val="2"/>
    </font>
    <font>
      <b/>
      <sz val="12"/>
      <name val="Arial"/>
      <family val="2"/>
    </font>
  </fonts>
  <fills count="8">
    <fill>
      <patternFill patternType="none"/>
    </fill>
    <fill>
      <patternFill patternType="gray125"/>
    </fill>
    <fill>
      <patternFill patternType="solid">
        <fgColor rgb="FFFFFF99"/>
        <bgColor rgb="FFFFFFCC"/>
      </patternFill>
    </fill>
    <fill>
      <patternFill patternType="solid">
        <fgColor rgb="FF99CCFF"/>
        <bgColor rgb="FFC0C0C0"/>
      </patternFill>
    </fill>
    <fill>
      <patternFill patternType="solid">
        <fgColor theme="0"/>
        <bgColor rgb="FFFFFFCC"/>
      </patternFill>
    </fill>
    <fill>
      <patternFill patternType="solid">
        <fgColor rgb="FFCCFFFF"/>
        <bgColor rgb="FFCCFFFF"/>
      </patternFill>
    </fill>
    <fill>
      <patternFill patternType="solid">
        <fgColor theme="0" tint="-0.14999847407452621"/>
        <bgColor rgb="FFC0C0C0"/>
      </patternFill>
    </fill>
    <fill>
      <patternFill patternType="solid">
        <fgColor rgb="FFCCFFCC"/>
        <bgColor rgb="FFCCFFFF"/>
      </patternFill>
    </fill>
  </fills>
  <borders count="33">
    <border>
      <left/>
      <right/>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top style="medium">
        <color auto="1"/>
      </top>
      <bottom/>
      <diagonal/>
    </border>
    <border>
      <left/>
      <right/>
      <top style="medium">
        <color auto="1"/>
      </top>
      <bottom/>
      <diagonal/>
    </border>
    <border>
      <left style="thin">
        <color auto="1"/>
      </left>
      <right/>
      <top style="medium">
        <color auto="1"/>
      </top>
      <bottom/>
      <diagonal/>
    </border>
    <border>
      <left/>
      <right style="medium">
        <color auto="1"/>
      </right>
      <top style="medium">
        <color auto="1"/>
      </top>
      <bottom/>
      <diagonal/>
    </border>
    <border>
      <left style="medium">
        <color auto="1"/>
      </left>
      <right/>
      <top/>
      <bottom/>
      <diagonal/>
    </border>
    <border>
      <left style="thin">
        <color auto="1"/>
      </left>
      <right/>
      <top/>
      <bottom/>
      <diagonal/>
    </border>
    <border>
      <left/>
      <right style="medium">
        <color auto="1"/>
      </right>
      <top/>
      <bottom/>
      <diagonal/>
    </border>
    <border>
      <left style="medium">
        <color auto="1"/>
      </left>
      <right/>
      <top/>
      <bottom style="thin">
        <color auto="1"/>
      </bottom>
      <diagonal/>
    </border>
    <border>
      <left/>
      <right style="medium">
        <color auto="1"/>
      </right>
      <top/>
      <bottom style="thin">
        <color auto="1"/>
      </bottom>
      <diagonal/>
    </border>
    <border>
      <left style="thin">
        <color auto="1"/>
      </left>
      <right style="medium">
        <color auto="1"/>
      </right>
      <top style="thin">
        <color auto="1"/>
      </top>
      <bottom/>
      <diagonal/>
    </border>
    <border>
      <left/>
      <right style="medium">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s>
  <cellStyleXfs count="2">
    <xf numFmtId="0" fontId="0" fillId="0" borderId="0"/>
    <xf numFmtId="0" fontId="1" fillId="0" borderId="0"/>
  </cellStyleXfs>
  <cellXfs count="162">
    <xf numFmtId="0" fontId="0" fillId="0" borderId="0" xfId="0"/>
    <xf numFmtId="0" fontId="5" fillId="0" borderId="18" xfId="0" applyFont="1" applyBorder="1" applyAlignment="1">
      <alignment horizontal="center"/>
    </xf>
    <xf numFmtId="0" fontId="5" fillId="5" borderId="2" xfId="0" applyFont="1" applyFill="1" applyBorder="1" applyAlignment="1" applyProtection="1">
      <alignment horizontal="center" textRotation="90"/>
      <protection locked="0"/>
    </xf>
    <xf numFmtId="0" fontId="5" fillId="7" borderId="2" xfId="0" applyFont="1" applyFill="1" applyBorder="1" applyAlignment="1" applyProtection="1">
      <alignment horizontal="center" vertical="center"/>
      <protection locked="0"/>
    </xf>
    <xf numFmtId="0" fontId="5" fillId="5" borderId="2" xfId="0" applyFont="1" applyFill="1" applyBorder="1" applyAlignment="1" applyProtection="1">
      <alignment horizontal="center" vertical="center" textRotation="90"/>
      <protection locked="0"/>
    </xf>
    <xf numFmtId="0" fontId="2" fillId="5" borderId="2" xfId="0" applyFont="1" applyFill="1" applyBorder="1" applyAlignment="1" applyProtection="1">
      <alignment horizontal="center"/>
      <protection locked="0"/>
    </xf>
    <xf numFmtId="0" fontId="2" fillId="5" borderId="1" xfId="0" applyFont="1" applyFill="1" applyBorder="1" applyAlignment="1" applyProtection="1">
      <alignment horizontal="center" textRotation="90"/>
      <protection locked="0"/>
    </xf>
    <xf numFmtId="0" fontId="2" fillId="5" borderId="5" xfId="0" applyFont="1" applyFill="1" applyBorder="1" applyAlignment="1" applyProtection="1">
      <alignment horizontal="center"/>
      <protection locked="0"/>
    </xf>
    <xf numFmtId="0" fontId="5" fillId="0" borderId="3" xfId="0" applyFont="1" applyBorder="1" applyAlignment="1" applyProtection="1">
      <alignment horizontal="center"/>
      <protection locked="0"/>
    </xf>
    <xf numFmtId="0" fontId="5" fillId="0" borderId="2" xfId="0" applyFont="1" applyBorder="1" applyAlignment="1" applyProtection="1">
      <alignment horizontal="left" vertical="center"/>
      <protection locked="0"/>
    </xf>
    <xf numFmtId="0" fontId="5" fillId="0" borderId="3" xfId="0" applyFont="1" applyBorder="1" applyAlignment="1" applyProtection="1">
      <alignment horizontal="left"/>
      <protection locked="0"/>
    </xf>
    <xf numFmtId="0" fontId="3" fillId="0" borderId="2" xfId="0" applyFont="1" applyBorder="1" applyAlignment="1" applyProtection="1">
      <alignment horizontal="center" vertical="center"/>
      <protection locked="0"/>
    </xf>
    <xf numFmtId="0" fontId="3" fillId="0" borderId="1" xfId="0" applyFont="1" applyBorder="1" applyAlignment="1" applyProtection="1">
      <alignment horizontal="center" vertical="center"/>
      <protection locked="0"/>
    </xf>
    <xf numFmtId="0" fontId="2" fillId="0" borderId="0" xfId="0" applyFont="1" applyAlignment="1" applyProtection="1">
      <protection locked="0"/>
    </xf>
    <xf numFmtId="0" fontId="4" fillId="0" borderId="0" xfId="0" applyFont="1" applyAlignment="1" applyProtection="1">
      <alignment horizontal="center"/>
      <protection locked="0"/>
    </xf>
    <xf numFmtId="0" fontId="5" fillId="0" borderId="0" xfId="0" applyFont="1" applyAlignment="1" applyProtection="1">
      <protection locked="0"/>
    </xf>
    <xf numFmtId="164" fontId="2" fillId="0" borderId="0" xfId="0" applyNumberFormat="1" applyFont="1" applyAlignment="1" applyProtection="1">
      <protection locked="0"/>
    </xf>
    <xf numFmtId="0" fontId="6" fillId="0" borderId="0" xfId="0" applyFont="1" applyAlignment="1" applyProtection="1">
      <alignment horizontal="left"/>
      <protection locked="0"/>
    </xf>
    <xf numFmtId="0" fontId="5" fillId="2" borderId="1" xfId="0" applyFont="1" applyFill="1" applyBorder="1" applyAlignment="1" applyProtection="1">
      <protection locked="0"/>
    </xf>
    <xf numFmtId="0" fontId="5" fillId="2" borderId="4" xfId="0" applyFont="1" applyFill="1" applyBorder="1" applyAlignment="1" applyProtection="1">
      <protection locked="0"/>
    </xf>
    <xf numFmtId="0" fontId="5" fillId="2" borderId="3" xfId="0" applyFont="1" applyFill="1" applyBorder="1" applyAlignment="1" applyProtection="1">
      <protection locked="0"/>
    </xf>
    <xf numFmtId="0" fontId="5" fillId="0" borderId="4" xfId="0" applyFont="1" applyBorder="1" applyAlignment="1" applyProtection="1">
      <alignment horizontal="left"/>
      <protection locked="0"/>
    </xf>
    <xf numFmtId="0" fontId="2" fillId="0" borderId="3" xfId="0" applyFont="1" applyBorder="1" applyAlignment="1" applyProtection="1">
      <protection locked="0"/>
    </xf>
    <xf numFmtId="0" fontId="2" fillId="0" borderId="2" xfId="0" applyFont="1" applyBorder="1" applyAlignment="1" applyProtection="1">
      <protection locked="0"/>
    </xf>
    <xf numFmtId="0" fontId="5" fillId="0" borderId="2" xfId="0" applyFont="1" applyBorder="1" applyAlignment="1" applyProtection="1">
      <alignment horizontal="left"/>
      <protection locked="0"/>
    </xf>
    <xf numFmtId="165" fontId="7" fillId="0" borderId="0" xfId="0" applyNumberFormat="1" applyFont="1" applyAlignment="1" applyProtection="1">
      <alignment vertical="center"/>
      <protection locked="0"/>
    </xf>
    <xf numFmtId="0" fontId="2" fillId="0" borderId="0" xfId="0" applyFont="1" applyAlignment="1" applyProtection="1">
      <alignment vertical="top"/>
      <protection locked="0"/>
    </xf>
    <xf numFmtId="0" fontId="2" fillId="0" borderId="0" xfId="0" applyFont="1" applyAlignment="1" applyProtection="1">
      <alignment horizontal="center" vertical="top"/>
      <protection locked="0"/>
    </xf>
    <xf numFmtId="0" fontId="7" fillId="0" borderId="0" xfId="0" applyFont="1" applyAlignment="1" applyProtection="1">
      <alignment horizontal="center" vertical="center"/>
      <protection locked="0"/>
    </xf>
    <xf numFmtId="0" fontId="5" fillId="3" borderId="2" xfId="0" applyFont="1" applyFill="1" applyBorder="1" applyAlignment="1" applyProtection="1">
      <alignment horizontal="center" vertical="center" wrapText="1"/>
      <protection locked="0"/>
    </xf>
    <xf numFmtId="0" fontId="2" fillId="0" borderId="0" xfId="0" applyFont="1" applyAlignment="1" applyProtection="1">
      <alignment horizontal="center" wrapText="1"/>
      <protection locked="0"/>
    </xf>
    <xf numFmtId="0" fontId="7" fillId="0" borderId="0" xfId="0" applyFont="1" applyAlignment="1" applyProtection="1">
      <protection locked="0"/>
    </xf>
    <xf numFmtId="0" fontId="2" fillId="0" borderId="2" xfId="0" applyFont="1" applyBorder="1" applyAlignment="1" applyProtection="1">
      <alignment horizontal="center" vertical="center"/>
      <protection locked="0"/>
    </xf>
    <xf numFmtId="166" fontId="2" fillId="0" borderId="2" xfId="0" applyNumberFormat="1" applyFont="1" applyBorder="1" applyAlignment="1" applyProtection="1">
      <alignment horizontal="center" vertical="center"/>
      <protection locked="0"/>
    </xf>
    <xf numFmtId="0" fontId="2" fillId="0" borderId="2" xfId="0" applyFont="1" applyBorder="1" applyAlignment="1" applyProtection="1">
      <alignment horizontal="center"/>
      <protection locked="0"/>
    </xf>
    <xf numFmtId="0" fontId="2" fillId="2" borderId="2" xfId="0" applyFont="1" applyFill="1" applyBorder="1" applyAlignment="1" applyProtection="1">
      <alignment horizontal="center"/>
      <protection hidden="1"/>
    </xf>
    <xf numFmtId="0" fontId="5" fillId="2" borderId="2" xfId="0" applyFont="1" applyFill="1" applyBorder="1" applyAlignment="1" applyProtection="1">
      <alignment horizontal="center"/>
      <protection hidden="1"/>
    </xf>
    <xf numFmtId="0" fontId="2" fillId="0" borderId="0" xfId="0" applyFont="1" applyAlignment="1" applyProtection="1">
      <alignment horizontal="left" indent="2"/>
      <protection locked="0"/>
    </xf>
    <xf numFmtId="0" fontId="2" fillId="4" borderId="2" xfId="0" applyFont="1" applyFill="1" applyBorder="1" applyAlignment="1" applyProtection="1">
      <alignment horizontal="left" vertical="center"/>
      <protection locked="0"/>
    </xf>
    <xf numFmtId="0" fontId="5" fillId="0" borderId="0" xfId="0" applyFont="1" applyAlignment="1" applyProtection="1">
      <alignment horizontal="center" vertical="center" wrapText="1"/>
      <protection locked="0"/>
    </xf>
    <xf numFmtId="0" fontId="2" fillId="5" borderId="2" xfId="0" applyFont="1" applyFill="1" applyBorder="1" applyAlignment="1" applyProtection="1">
      <protection locked="0"/>
    </xf>
    <xf numFmtId="0" fontId="2" fillId="6" borderId="2" xfId="0" applyFont="1" applyFill="1" applyBorder="1" applyAlignment="1" applyProtection="1">
      <alignment horizontal="center" vertical="center"/>
      <protection locked="0"/>
    </xf>
    <xf numFmtId="166" fontId="2" fillId="6" borderId="2" xfId="0" applyNumberFormat="1" applyFont="1" applyFill="1" applyBorder="1" applyAlignment="1" applyProtection="1">
      <alignment horizontal="center" vertical="center"/>
      <protection locked="0"/>
    </xf>
    <xf numFmtId="0" fontId="2" fillId="6" borderId="2" xfId="0" applyFont="1" applyFill="1" applyBorder="1" applyAlignment="1" applyProtection="1">
      <alignment horizontal="center" vertical="top"/>
      <protection locked="0"/>
    </xf>
    <xf numFmtId="0" fontId="2" fillId="6" borderId="2" xfId="0" applyFont="1" applyFill="1" applyBorder="1" applyAlignment="1" applyProtection="1">
      <alignment horizontal="center"/>
      <protection hidden="1"/>
    </xf>
    <xf numFmtId="0" fontId="2" fillId="6" borderId="2" xfId="0" applyFont="1" applyFill="1" applyBorder="1" applyAlignment="1" applyProtection="1">
      <alignment horizontal="center"/>
      <protection locked="0"/>
    </xf>
    <xf numFmtId="0" fontId="5" fillId="6" borderId="2" xfId="0" applyFont="1" applyFill="1" applyBorder="1" applyAlignment="1" applyProtection="1">
      <alignment horizontal="center"/>
      <protection hidden="1"/>
    </xf>
    <xf numFmtId="0" fontId="2" fillId="0" borderId="0" xfId="0" applyFont="1" applyAlignment="1" applyProtection="1">
      <alignment horizontal="center"/>
      <protection locked="0"/>
    </xf>
    <xf numFmtId="0" fontId="2" fillId="0" borderId="2" xfId="0" applyFont="1" applyBorder="1" applyAlignment="1" applyProtection="1">
      <alignment wrapText="1"/>
      <protection locked="0"/>
    </xf>
    <xf numFmtId="0" fontId="2" fillId="0" borderId="0" xfId="0" applyFont="1" applyAlignment="1" applyProtection="1">
      <alignment horizontal="center" vertical="center"/>
      <protection locked="0"/>
    </xf>
    <xf numFmtId="0" fontId="2" fillId="0" borderId="0" xfId="0" applyFont="1" applyAlignment="1" applyProtection="1">
      <alignment horizontal="center" textRotation="90"/>
      <protection locked="0"/>
    </xf>
    <xf numFmtId="0" fontId="5" fillId="0" borderId="0" xfId="0" applyFont="1" applyAlignment="1" applyProtection="1">
      <alignment horizontal="left"/>
      <protection locked="0"/>
    </xf>
    <xf numFmtId="0" fontId="2" fillId="0" borderId="0" xfId="0" applyFont="1" applyAlignment="1" applyProtection="1">
      <alignment horizontal="left"/>
      <protection locked="0"/>
    </xf>
    <xf numFmtId="0" fontId="5" fillId="0" borderId="0" xfId="0" applyFont="1" applyAlignment="1" applyProtection="1">
      <alignment horizontal="center"/>
      <protection locked="0"/>
    </xf>
    <xf numFmtId="0" fontId="2" fillId="5" borderId="2" xfId="0" applyFont="1" applyFill="1" applyBorder="1" applyAlignment="1" applyProtection="1">
      <alignment vertical="center"/>
      <protection locked="0"/>
    </xf>
    <xf numFmtId="0" fontId="2" fillId="0" borderId="2" xfId="0" applyFont="1" applyBorder="1" applyAlignment="1" applyProtection="1">
      <alignment vertical="center"/>
      <protection locked="0"/>
    </xf>
    <xf numFmtId="0" fontId="5" fillId="0" borderId="0" xfId="0" applyFont="1" applyAlignment="1" applyProtection="1">
      <alignment horizontal="center" vertical="center"/>
      <protection locked="0"/>
    </xf>
    <xf numFmtId="0" fontId="5" fillId="0" borderId="0" xfId="0" applyFont="1" applyAlignment="1" applyProtection="1">
      <alignment vertical="center"/>
      <protection locked="0"/>
    </xf>
    <xf numFmtId="167" fontId="2" fillId="0" borderId="2" xfId="0" applyNumberFormat="1" applyFont="1" applyBorder="1" applyAlignment="1" applyProtection="1">
      <alignment horizontal="center" vertical="center"/>
      <protection locked="0"/>
    </xf>
    <xf numFmtId="0" fontId="5" fillId="7" borderId="2" xfId="0" applyFont="1" applyFill="1" applyBorder="1" applyAlignment="1" applyProtection="1">
      <alignment horizontal="center"/>
      <protection locked="0"/>
    </xf>
    <xf numFmtId="0" fontId="5" fillId="5" borderId="2" xfId="0" applyFont="1" applyFill="1" applyBorder="1" applyAlignment="1" applyProtection="1">
      <alignment horizontal="center" vertical="center"/>
      <protection locked="0"/>
    </xf>
    <xf numFmtId="0" fontId="5" fillId="2" borderId="2" xfId="0" applyFont="1" applyFill="1" applyBorder="1" applyAlignment="1" applyProtection="1">
      <alignment horizontal="center"/>
      <protection locked="0"/>
    </xf>
    <xf numFmtId="0" fontId="5" fillId="0" borderId="2" xfId="0" applyFont="1" applyBorder="1" applyAlignment="1" applyProtection="1">
      <alignment horizontal="center"/>
      <protection locked="0"/>
    </xf>
    <xf numFmtId="0" fontId="2" fillId="0" borderId="2" xfId="0" applyFont="1" applyBorder="1" applyAlignment="1" applyProtection="1">
      <alignment horizontal="left" vertical="center"/>
      <protection locked="0"/>
    </xf>
    <xf numFmtId="0" fontId="5" fillId="0" borderId="2" xfId="0" applyFont="1" applyBorder="1" applyAlignment="1" applyProtection="1">
      <alignment vertical="center"/>
      <protection locked="0"/>
    </xf>
    <xf numFmtId="0" fontId="5" fillId="0" borderId="0" xfId="0" applyFont="1" applyAlignment="1" applyProtection="1">
      <alignment horizontal="left" vertical="center"/>
      <protection locked="0"/>
    </xf>
    <xf numFmtId="0" fontId="5" fillId="5" borderId="1" xfId="0" applyFont="1" applyFill="1" applyBorder="1" applyAlignment="1" applyProtection="1">
      <protection locked="0"/>
    </xf>
    <xf numFmtId="0" fontId="5" fillId="5" borderId="4" xfId="0" applyFont="1" applyFill="1" applyBorder="1" applyAlignment="1" applyProtection="1">
      <alignment vertical="center"/>
      <protection locked="0"/>
    </xf>
    <xf numFmtId="0" fontId="5" fillId="5" borderId="3" xfId="0" applyFont="1" applyFill="1" applyBorder="1" applyAlignment="1" applyProtection="1">
      <alignment vertical="center"/>
      <protection locked="0"/>
    </xf>
    <xf numFmtId="0" fontId="5" fillId="5" borderId="4" xfId="0" applyFont="1" applyFill="1" applyBorder="1" applyAlignment="1" applyProtection="1">
      <protection locked="0"/>
    </xf>
    <xf numFmtId="0" fontId="2" fillId="5" borderId="4" xfId="0" applyFont="1" applyFill="1" applyBorder="1" applyAlignment="1" applyProtection="1">
      <protection locked="0"/>
    </xf>
    <xf numFmtId="0" fontId="2" fillId="5" borderId="3" xfId="0" applyFont="1" applyFill="1" applyBorder="1" applyAlignment="1" applyProtection="1">
      <protection locked="0"/>
    </xf>
    <xf numFmtId="0" fontId="5" fillId="5" borderId="2" xfId="0" applyFont="1" applyFill="1" applyBorder="1" applyAlignment="1" applyProtection="1">
      <alignment horizontal="center"/>
      <protection locked="0"/>
    </xf>
    <xf numFmtId="0" fontId="2" fillId="0" borderId="6" xfId="0" applyFont="1" applyBorder="1" applyAlignment="1" applyProtection="1">
      <alignment vertical="center"/>
      <protection locked="0"/>
    </xf>
    <xf numFmtId="0" fontId="5" fillId="0" borderId="7" xfId="0" applyFont="1" applyBorder="1" applyAlignment="1" applyProtection="1">
      <alignment vertical="center"/>
      <protection locked="0"/>
    </xf>
    <xf numFmtId="0" fontId="5" fillId="0" borderId="8" xfId="0" applyFont="1" applyBorder="1" applyAlignment="1" applyProtection="1">
      <alignment vertical="center"/>
      <protection locked="0"/>
    </xf>
    <xf numFmtId="0" fontId="2" fillId="0" borderId="1" xfId="0" applyFont="1" applyBorder="1" applyAlignment="1" applyProtection="1">
      <protection locked="0"/>
    </xf>
    <xf numFmtId="0" fontId="2" fillId="0" borderId="4" xfId="0" applyFont="1" applyBorder="1" applyAlignment="1" applyProtection="1">
      <protection locked="0"/>
    </xf>
    <xf numFmtId="0" fontId="2" fillId="0" borderId="0" xfId="0" applyFont="1" applyAlignment="1" applyProtection="1">
      <alignment horizontal="left" vertical="center"/>
      <protection locked="0"/>
    </xf>
    <xf numFmtId="0" fontId="5" fillId="0" borderId="4" xfId="0" applyFont="1" applyBorder="1" applyAlignment="1" applyProtection="1">
      <alignment vertical="center"/>
      <protection locked="0"/>
    </xf>
    <xf numFmtId="0" fontId="5" fillId="0" borderId="3" xfId="0" applyFont="1" applyBorder="1" applyAlignment="1" applyProtection="1">
      <alignment vertical="center"/>
      <protection locked="0"/>
    </xf>
    <xf numFmtId="0" fontId="2" fillId="0" borderId="1" xfId="0" applyFont="1" applyBorder="1" applyAlignment="1" applyProtection="1">
      <alignment vertical="center"/>
      <protection locked="0"/>
    </xf>
    <xf numFmtId="0" fontId="2" fillId="0" borderId="0" xfId="0" applyFont="1" applyAlignment="1"/>
    <xf numFmtId="0" fontId="2" fillId="0" borderId="9" xfId="0" applyFont="1" applyBorder="1" applyAlignment="1"/>
    <xf numFmtId="0" fontId="2" fillId="0" borderId="10" xfId="0" applyFont="1" applyBorder="1" applyAlignment="1"/>
    <xf numFmtId="0" fontId="2" fillId="0" borderId="11" xfId="0" applyFont="1" applyBorder="1" applyAlignment="1"/>
    <xf numFmtId="0" fontId="2" fillId="0" borderId="12" xfId="0" applyFont="1" applyBorder="1" applyAlignment="1"/>
    <xf numFmtId="0" fontId="2" fillId="0" borderId="13" xfId="0" applyFont="1" applyBorder="1" applyAlignment="1"/>
    <xf numFmtId="0" fontId="8" fillId="0" borderId="14" xfId="0" applyFont="1" applyBorder="1" applyAlignment="1">
      <alignment horizontal="left"/>
    </xf>
    <xf numFmtId="0" fontId="2" fillId="0" borderId="0" xfId="0" applyFont="1" applyAlignment="1">
      <alignment horizontal="center"/>
    </xf>
    <xf numFmtId="0" fontId="2" fillId="0" borderId="15" xfId="0" applyFont="1" applyBorder="1" applyAlignment="1">
      <alignment horizontal="center"/>
    </xf>
    <xf numFmtId="0" fontId="9" fillId="0" borderId="16" xfId="0" applyFont="1" applyBorder="1" applyAlignment="1"/>
    <xf numFmtId="0" fontId="9" fillId="0" borderId="7" xfId="0" applyFont="1" applyBorder="1" applyAlignment="1"/>
    <xf numFmtId="0" fontId="2" fillId="0" borderId="6" xfId="0" applyFont="1" applyBorder="1" applyAlignment="1"/>
    <xf numFmtId="0" fontId="2" fillId="0" borderId="7" xfId="0" applyFont="1" applyBorder="1" applyAlignment="1"/>
    <xf numFmtId="0" fontId="10" fillId="0" borderId="17" xfId="0" applyFont="1" applyBorder="1" applyAlignment="1">
      <alignment horizontal="center"/>
    </xf>
    <xf numFmtId="0" fontId="4" fillId="0" borderId="16" xfId="0" applyFont="1" applyBorder="1" applyAlignment="1">
      <alignment vertical="center"/>
    </xf>
    <xf numFmtId="0" fontId="4" fillId="0" borderId="7" xfId="0" applyFont="1" applyBorder="1" applyAlignment="1">
      <alignment vertical="center"/>
    </xf>
    <xf numFmtId="0" fontId="6" fillId="0" borderId="7" xfId="0" applyFont="1" applyBorder="1" applyAlignment="1">
      <alignment vertical="center"/>
    </xf>
    <xf numFmtId="0" fontId="6" fillId="0" borderId="8" xfId="0" applyFont="1" applyBorder="1" applyAlignment="1">
      <alignment vertical="center"/>
    </xf>
    <xf numFmtId="0" fontId="5" fillId="0" borderId="0" xfId="0" applyFont="1" applyAlignment="1"/>
    <xf numFmtId="0" fontId="4" fillId="0" borderId="7" xfId="0" applyFont="1" applyBorder="1" applyAlignment="1">
      <alignment horizontal="left" vertical="center"/>
    </xf>
    <xf numFmtId="0" fontId="2" fillId="0" borderId="17" xfId="0" applyFont="1" applyBorder="1" applyAlignment="1"/>
    <xf numFmtId="0" fontId="4" fillId="0" borderId="13" xfId="0" applyFont="1" applyBorder="1" applyAlignment="1">
      <alignment vertical="center"/>
    </xf>
    <xf numFmtId="0" fontId="4" fillId="0" borderId="0" xfId="0" applyFont="1" applyAlignment="1">
      <alignment vertical="center"/>
    </xf>
    <xf numFmtId="0" fontId="10" fillId="0" borderId="0" xfId="0" applyFont="1" applyAlignment="1">
      <alignment vertical="center"/>
    </xf>
    <xf numFmtId="0" fontId="10" fillId="0" borderId="15" xfId="0" applyFont="1" applyBorder="1" applyAlignment="1">
      <alignment vertical="center"/>
    </xf>
    <xf numFmtId="0" fontId="10" fillId="0" borderId="13" xfId="0" applyFont="1" applyBorder="1" applyAlignment="1">
      <alignment vertical="center"/>
    </xf>
    <xf numFmtId="0" fontId="10" fillId="0" borderId="16" xfId="0" applyFont="1" applyBorder="1" applyAlignment="1">
      <alignment vertical="center"/>
    </xf>
    <xf numFmtId="0" fontId="10" fillId="0" borderId="7" xfId="0" applyFont="1" applyBorder="1" applyAlignment="1">
      <alignment vertical="center"/>
    </xf>
    <xf numFmtId="0" fontId="10" fillId="0" borderId="17" xfId="0" applyFont="1" applyBorder="1" applyAlignment="1">
      <alignment vertical="center"/>
    </xf>
    <xf numFmtId="0" fontId="10" fillId="0" borderId="4" xfId="0" applyFont="1" applyBorder="1" applyAlignment="1">
      <alignment vertical="center"/>
    </xf>
    <xf numFmtId="0" fontId="10" fillId="0" borderId="3" xfId="0" applyFont="1" applyBorder="1" applyAlignment="1">
      <alignment vertical="center"/>
    </xf>
    <xf numFmtId="0" fontId="10" fillId="0" borderId="4" xfId="0" applyFont="1" applyBorder="1" applyAlignment="1">
      <alignment horizontal="center" vertical="center"/>
    </xf>
    <xf numFmtId="0" fontId="10" fillId="0" borderId="19" xfId="0" applyFont="1" applyBorder="1" applyAlignment="1">
      <alignment horizontal="center" vertical="center"/>
    </xf>
    <xf numFmtId="0" fontId="10" fillId="0" borderId="8" xfId="0" applyFont="1" applyBorder="1" applyAlignment="1">
      <alignment vertical="center"/>
    </xf>
    <xf numFmtId="0" fontId="10" fillId="0" borderId="7" xfId="0" applyFont="1" applyBorder="1" applyAlignment="1">
      <alignment horizontal="left" vertical="center"/>
    </xf>
    <xf numFmtId="0" fontId="10" fillId="0" borderId="7" xfId="0" applyFont="1" applyBorder="1" applyAlignment="1">
      <alignment horizontal="center" vertical="center"/>
    </xf>
    <xf numFmtId="0" fontId="10" fillId="0" borderId="17" xfId="0" applyFont="1" applyBorder="1" applyAlignment="1">
      <alignment horizontal="center" vertical="center"/>
    </xf>
    <xf numFmtId="0" fontId="6" fillId="0" borderId="13" xfId="0" applyFont="1" applyBorder="1" applyAlignment="1">
      <alignment vertical="center"/>
    </xf>
    <xf numFmtId="0" fontId="6" fillId="0" borderId="16" xfId="0" applyFont="1" applyBorder="1" applyAlignment="1">
      <alignment horizontal="center" vertical="center"/>
    </xf>
    <xf numFmtId="0" fontId="2" fillId="0" borderId="7" xfId="0" applyFont="1" applyBorder="1" applyAlignment="1">
      <alignment vertical="center"/>
    </xf>
    <xf numFmtId="0" fontId="10" fillId="0" borderId="8" xfId="0" applyFont="1" applyBorder="1" applyAlignment="1">
      <alignment horizontal="center" vertical="center"/>
    </xf>
    <xf numFmtId="0" fontId="6" fillId="0" borderId="2" xfId="0" applyFont="1" applyBorder="1" applyAlignment="1">
      <alignment horizontal="center" vertical="center"/>
    </xf>
    <xf numFmtId="0" fontId="6" fillId="0" borderId="20" xfId="0" applyFont="1" applyBorder="1" applyAlignment="1">
      <alignment horizontal="center" vertical="center"/>
    </xf>
    <xf numFmtId="0" fontId="10" fillId="0" borderId="21" xfId="0" applyFont="1" applyBorder="1" applyAlignment="1">
      <alignment vertical="center"/>
    </xf>
    <xf numFmtId="0" fontId="10" fillId="0" borderId="22" xfId="0" applyFont="1" applyBorder="1" applyAlignment="1">
      <alignment vertical="center"/>
    </xf>
    <xf numFmtId="0" fontId="10" fillId="0" borderId="23" xfId="0" applyFont="1" applyBorder="1" applyAlignment="1">
      <alignment vertical="center"/>
    </xf>
    <xf numFmtId="0" fontId="10" fillId="0" borderId="24" xfId="0" applyFont="1" applyBorder="1" applyAlignment="1">
      <alignment vertical="center"/>
    </xf>
    <xf numFmtId="0" fontId="10" fillId="0" borderId="26" xfId="0" applyFont="1" applyBorder="1" applyAlignment="1">
      <alignment horizontal="left" vertical="center"/>
    </xf>
    <xf numFmtId="0" fontId="10" fillId="0" borderId="26" xfId="0" applyFont="1" applyBorder="1" applyAlignment="1">
      <alignment vertical="center"/>
    </xf>
    <xf numFmtId="0" fontId="10" fillId="0" borderId="27" xfId="0" applyFont="1" applyBorder="1" applyAlignment="1">
      <alignment vertical="center"/>
    </xf>
    <xf numFmtId="0" fontId="10" fillId="0" borderId="29" xfId="0" applyFont="1" applyBorder="1" applyAlignment="1">
      <alignment horizontal="left" vertical="center"/>
    </xf>
    <xf numFmtId="0" fontId="10" fillId="0" borderId="29" xfId="0" applyFont="1" applyBorder="1" applyAlignment="1">
      <alignment vertical="center"/>
    </xf>
    <xf numFmtId="0" fontId="10" fillId="0" borderId="30" xfId="0" applyFont="1" applyBorder="1" applyAlignment="1">
      <alignment vertical="center"/>
    </xf>
    <xf numFmtId="0" fontId="11" fillId="3" borderId="2" xfId="0" applyFont="1" applyFill="1" applyBorder="1" applyAlignment="1" applyProtection="1">
      <alignment horizontal="center" vertical="center" wrapText="1"/>
      <protection locked="0"/>
    </xf>
    <xf numFmtId="0" fontId="11" fillId="3" borderId="1" xfId="0" applyFont="1" applyFill="1" applyBorder="1" applyAlignment="1" applyProtection="1">
      <alignment horizontal="center" vertical="center" wrapText="1"/>
      <protection locked="0"/>
    </xf>
    <xf numFmtId="0" fontId="2" fillId="4" borderId="2" xfId="0" applyFont="1" applyFill="1" applyBorder="1" applyAlignment="1" applyProtection="1">
      <alignment horizontal="left" wrapText="1"/>
      <protection locked="0"/>
    </xf>
    <xf numFmtId="0" fontId="2" fillId="4" borderId="2" xfId="0" applyFont="1" applyFill="1" applyBorder="1" applyAlignment="1" applyProtection="1">
      <alignment horizontal="left" vertical="center" wrapText="1"/>
      <protection locked="0"/>
    </xf>
    <xf numFmtId="0" fontId="2" fillId="6" borderId="2" xfId="0" applyFont="1" applyFill="1" applyBorder="1" applyAlignment="1" applyProtection="1">
      <alignment horizontal="left" vertical="center" wrapText="1"/>
      <protection locked="0"/>
    </xf>
    <xf numFmtId="0" fontId="7" fillId="0" borderId="2" xfId="0" applyFont="1" applyBorder="1" applyAlignment="1" applyProtection="1">
      <alignment horizontal="left" vertical="center"/>
      <protection locked="0"/>
    </xf>
    <xf numFmtId="0" fontId="12" fillId="0" borderId="2" xfId="0" applyFont="1" applyBorder="1" applyAlignment="1" applyProtection="1">
      <alignment horizontal="left" vertical="center"/>
      <protection locked="0"/>
    </xf>
    <xf numFmtId="0" fontId="14" fillId="0" borderId="7" xfId="0" applyFont="1" applyBorder="1" applyAlignment="1">
      <alignment vertical="center"/>
    </xf>
    <xf numFmtId="0" fontId="13" fillId="0" borderId="17" xfId="0" applyFont="1" applyBorder="1" applyAlignment="1">
      <alignment horizontal="center" vertical="center"/>
    </xf>
    <xf numFmtId="0" fontId="10" fillId="0" borderId="13" xfId="0" applyFont="1" applyBorder="1" applyAlignment="1">
      <alignment horizontal="left" vertical="center" wrapText="1"/>
    </xf>
    <xf numFmtId="0" fontId="10" fillId="0" borderId="0" xfId="0" applyFont="1" applyBorder="1" applyAlignment="1">
      <alignment horizontal="left" vertical="center" wrapText="1"/>
    </xf>
    <xf numFmtId="0" fontId="10" fillId="0" borderId="15" xfId="0" applyFont="1" applyBorder="1" applyAlignment="1">
      <alignment horizontal="left" vertical="center" wrapText="1"/>
    </xf>
    <xf numFmtId="0" fontId="10" fillId="0" borderId="16" xfId="0" applyFont="1" applyBorder="1" applyAlignment="1">
      <alignment horizontal="left" vertical="center" wrapText="1"/>
    </xf>
    <xf numFmtId="0" fontId="10" fillId="0" borderId="7" xfId="0" applyFont="1" applyBorder="1" applyAlignment="1">
      <alignment horizontal="left" vertical="center" wrapText="1"/>
    </xf>
    <xf numFmtId="0" fontId="10" fillId="0" borderId="17" xfId="0" applyFont="1" applyBorder="1" applyAlignment="1">
      <alignment horizontal="left" vertical="center" wrapText="1"/>
    </xf>
    <xf numFmtId="0" fontId="15" fillId="0" borderId="13" xfId="0" applyFont="1" applyBorder="1" applyAlignment="1">
      <alignment vertical="center"/>
    </xf>
    <xf numFmtId="0" fontId="15" fillId="0" borderId="4" xfId="0" applyFont="1" applyBorder="1" applyAlignment="1">
      <alignment vertical="center"/>
    </xf>
    <xf numFmtId="0" fontId="15" fillId="0" borderId="4" xfId="0" applyFont="1" applyBorder="1" applyAlignment="1">
      <alignment horizontal="center" vertical="center"/>
    </xf>
    <xf numFmtId="0" fontId="15" fillId="0" borderId="6" xfId="0" applyFont="1" applyBorder="1" applyAlignment="1">
      <alignment vertical="center"/>
    </xf>
    <xf numFmtId="0" fontId="15" fillId="0" borderId="7" xfId="0" applyFont="1" applyBorder="1" applyAlignment="1">
      <alignment horizontal="left" vertical="center"/>
    </xf>
    <xf numFmtId="0" fontId="15" fillId="0" borderId="1" xfId="0" applyFont="1" applyBorder="1" applyAlignment="1">
      <alignment vertical="center"/>
    </xf>
    <xf numFmtId="14" fontId="10" fillId="0" borderId="31" xfId="0" applyNumberFormat="1" applyFont="1" applyBorder="1" applyAlignment="1">
      <alignment horizontal="center" vertical="center"/>
    </xf>
    <xf numFmtId="14" fontId="10" fillId="0" borderId="32" xfId="0" applyNumberFormat="1" applyFont="1" applyBorder="1" applyAlignment="1">
      <alignment horizontal="center" vertical="center"/>
    </xf>
    <xf numFmtId="0" fontId="15" fillId="0" borderId="26" xfId="0" applyFont="1" applyBorder="1" applyAlignment="1">
      <alignment horizontal="left" vertical="center"/>
    </xf>
    <xf numFmtId="0" fontId="15" fillId="0" borderId="29" xfId="0" applyFont="1" applyBorder="1" applyAlignment="1">
      <alignment horizontal="left" vertical="center"/>
    </xf>
    <xf numFmtId="0" fontId="15" fillId="0" borderId="25" xfId="0" applyFont="1" applyBorder="1" applyAlignment="1">
      <alignment horizontal="left" vertical="center"/>
    </xf>
    <xf numFmtId="0" fontId="15" fillId="0" borderId="28" xfId="0" applyFont="1" applyBorder="1" applyAlignment="1">
      <alignment horizontal="left" vertical="center"/>
    </xf>
  </cellXfs>
  <cellStyles count="2">
    <cellStyle name="Normal" xfId="0" builtinId="0"/>
    <cellStyle name="Normal 2" xfId="1"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1493280</xdr:colOff>
      <xdr:row>1</xdr:row>
      <xdr:rowOff>379080</xdr:rowOff>
    </xdr:to>
    <xdr:pic>
      <xdr:nvPicPr>
        <xdr:cNvPr id="2" name="9 Imagen">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0" y="0"/>
          <a:ext cx="1493280" cy="531360"/>
        </a:xfrm>
        <a:prstGeom prst="rect">
          <a:avLst/>
        </a:prstGeom>
        <a:ln w="0">
          <a:noFill/>
        </a:ln>
      </xdr:spPr>
    </xdr:pic>
    <xdr:clientData/>
  </xdr:twoCellAnchor>
</xdr:wsDr>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62"/>
  <sheetViews>
    <sheetView topLeftCell="G21" zoomScale="90" zoomScaleNormal="90" workbookViewId="0">
      <selection activeCell="Y12" sqref="Y12"/>
    </sheetView>
  </sheetViews>
  <sheetFormatPr baseColWidth="10" defaultColWidth="9.21875" defaultRowHeight="13.2"/>
  <cols>
    <col min="1" max="1" width="7.77734375" style="13" customWidth="1"/>
    <col min="2" max="2" width="33.5546875" style="13" customWidth="1"/>
    <col min="3" max="3" width="7.21875" style="13" customWidth="1"/>
    <col min="4" max="4" width="5.77734375" style="13" customWidth="1"/>
    <col min="5" max="5" width="7.77734375" style="13" customWidth="1"/>
    <col min="6" max="6" width="8" style="13" customWidth="1"/>
    <col min="7" max="7" width="4.5546875" style="13" customWidth="1"/>
    <col min="8" max="8" width="6.21875" style="13" customWidth="1"/>
    <col min="9" max="9" width="4.77734375" style="13" customWidth="1"/>
    <col min="10" max="10" width="6.5546875" style="13" customWidth="1"/>
    <col min="11" max="11" width="5.77734375" style="13" customWidth="1"/>
    <col min="12" max="12" width="6.21875" style="13" customWidth="1"/>
    <col min="13" max="13" width="5.44140625" style="13" customWidth="1"/>
    <col min="14" max="14" width="6.21875" style="13" customWidth="1"/>
    <col min="15" max="15" width="5.21875" style="13" customWidth="1"/>
    <col min="16" max="16" width="10.21875" style="13" customWidth="1"/>
    <col min="17" max="17" width="7" style="13" customWidth="1"/>
    <col min="18" max="18" width="5.77734375" style="13" customWidth="1"/>
    <col min="19" max="19" width="3.5546875" style="13" customWidth="1"/>
    <col min="20" max="20" width="6.21875" style="13" customWidth="1"/>
    <col min="21" max="21" width="8.21875" style="13" customWidth="1"/>
    <col min="22" max="22" width="6.21875" style="13" customWidth="1"/>
    <col min="23" max="23" width="7" style="13" customWidth="1"/>
    <col min="24" max="257" width="9.21875" style="13"/>
    <col min="258" max="258" width="7.77734375" style="13" customWidth="1"/>
    <col min="259" max="259" width="21.44140625" style="13" customWidth="1"/>
    <col min="260" max="260" width="7.21875" style="13" customWidth="1"/>
    <col min="261" max="261" width="10.21875" style="13" customWidth="1"/>
    <col min="262" max="262" width="8" style="13" customWidth="1"/>
    <col min="263" max="263" width="4.5546875" style="13" customWidth="1"/>
    <col min="264" max="264" width="6.21875" style="13" customWidth="1"/>
    <col min="265" max="265" width="4.77734375" style="13" customWidth="1"/>
    <col min="266" max="266" width="6.5546875" style="13" customWidth="1"/>
    <col min="267" max="267" width="5.77734375" style="13" customWidth="1"/>
    <col min="268" max="268" width="6.21875" style="13" customWidth="1"/>
    <col min="269" max="269" width="5.44140625" style="13" customWidth="1"/>
    <col min="270" max="270" width="6.21875" style="13" customWidth="1"/>
    <col min="271" max="271" width="5.21875" style="13" customWidth="1"/>
    <col min="272" max="272" width="10.21875" style="13" customWidth="1"/>
    <col min="273" max="273" width="7" style="13" customWidth="1"/>
    <col min="274" max="274" width="5.77734375" style="13" customWidth="1"/>
    <col min="275" max="275" width="3.5546875" style="13" customWidth="1"/>
    <col min="276" max="276" width="6.21875" style="13" customWidth="1"/>
    <col min="277" max="277" width="8.21875" style="13" customWidth="1"/>
    <col min="278" max="278" width="6.21875" style="13" customWidth="1"/>
    <col min="279" max="279" width="7" style="13" customWidth="1"/>
    <col min="280" max="513" width="9.21875" style="13"/>
    <col min="514" max="514" width="7.77734375" style="13" customWidth="1"/>
    <col min="515" max="515" width="21.44140625" style="13" customWidth="1"/>
    <col min="516" max="516" width="7.21875" style="13" customWidth="1"/>
    <col min="517" max="517" width="10.21875" style="13" customWidth="1"/>
    <col min="518" max="518" width="8" style="13" customWidth="1"/>
    <col min="519" max="519" width="4.5546875" style="13" customWidth="1"/>
    <col min="520" max="520" width="6.21875" style="13" customWidth="1"/>
    <col min="521" max="521" width="4.77734375" style="13" customWidth="1"/>
    <col min="522" max="522" width="6.5546875" style="13" customWidth="1"/>
    <col min="523" max="523" width="5.77734375" style="13" customWidth="1"/>
    <col min="524" max="524" width="6.21875" style="13" customWidth="1"/>
    <col min="525" max="525" width="5.44140625" style="13" customWidth="1"/>
    <col min="526" max="526" width="6.21875" style="13" customWidth="1"/>
    <col min="527" max="527" width="5.21875" style="13" customWidth="1"/>
    <col min="528" max="528" width="10.21875" style="13" customWidth="1"/>
    <col min="529" max="529" width="7" style="13" customWidth="1"/>
    <col min="530" max="530" width="5.77734375" style="13" customWidth="1"/>
    <col min="531" max="531" width="3.5546875" style="13" customWidth="1"/>
    <col min="532" max="532" width="6.21875" style="13" customWidth="1"/>
    <col min="533" max="533" width="8.21875" style="13" customWidth="1"/>
    <col min="534" max="534" width="6.21875" style="13" customWidth="1"/>
    <col min="535" max="535" width="7" style="13" customWidth="1"/>
    <col min="536" max="769" width="9.21875" style="13"/>
    <col min="770" max="770" width="7.77734375" style="13" customWidth="1"/>
    <col min="771" max="771" width="21.44140625" style="13" customWidth="1"/>
    <col min="772" max="772" width="7.21875" style="13" customWidth="1"/>
    <col min="773" max="773" width="10.21875" style="13" customWidth="1"/>
    <col min="774" max="774" width="8" style="13" customWidth="1"/>
    <col min="775" max="775" width="4.5546875" style="13" customWidth="1"/>
    <col min="776" max="776" width="6.21875" style="13" customWidth="1"/>
    <col min="777" max="777" width="4.77734375" style="13" customWidth="1"/>
    <col min="778" max="778" width="6.5546875" style="13" customWidth="1"/>
    <col min="779" max="779" width="5.77734375" style="13" customWidth="1"/>
    <col min="780" max="780" width="6.21875" style="13" customWidth="1"/>
    <col min="781" max="781" width="5.44140625" style="13" customWidth="1"/>
    <col min="782" max="782" width="6.21875" style="13" customWidth="1"/>
    <col min="783" max="783" width="5.21875" style="13" customWidth="1"/>
    <col min="784" max="784" width="10.21875" style="13" customWidth="1"/>
    <col min="785" max="785" width="7" style="13" customWidth="1"/>
    <col min="786" max="786" width="5.77734375" style="13" customWidth="1"/>
    <col min="787" max="787" width="3.5546875" style="13" customWidth="1"/>
    <col min="788" max="788" width="6.21875" style="13" customWidth="1"/>
    <col min="789" max="789" width="8.21875" style="13" customWidth="1"/>
    <col min="790" max="790" width="6.21875" style="13" customWidth="1"/>
    <col min="791" max="791" width="7" style="13" customWidth="1"/>
    <col min="792" max="1025" width="9.21875" style="13"/>
    <col min="1026" max="1026" width="7.77734375" style="13" customWidth="1"/>
    <col min="1027" max="1027" width="21.44140625" style="13" customWidth="1"/>
    <col min="1028" max="1028" width="7.21875" style="13" customWidth="1"/>
    <col min="1029" max="1029" width="10.21875" style="13" customWidth="1"/>
    <col min="1030" max="1030" width="8" style="13" customWidth="1"/>
    <col min="1031" max="1031" width="4.5546875" style="13" customWidth="1"/>
    <col min="1032" max="1032" width="6.21875" style="13" customWidth="1"/>
    <col min="1033" max="1033" width="4.77734375" style="13" customWidth="1"/>
    <col min="1034" max="1034" width="6.5546875" style="13" customWidth="1"/>
    <col min="1035" max="1035" width="5.77734375" style="13" customWidth="1"/>
    <col min="1036" max="1036" width="6.21875" style="13" customWidth="1"/>
    <col min="1037" max="1037" width="5.44140625" style="13" customWidth="1"/>
    <col min="1038" max="1038" width="6.21875" style="13" customWidth="1"/>
    <col min="1039" max="1039" width="5.21875" style="13" customWidth="1"/>
    <col min="1040" max="1040" width="10.21875" style="13" customWidth="1"/>
    <col min="1041" max="1041" width="7" style="13" customWidth="1"/>
    <col min="1042" max="1042" width="5.77734375" style="13" customWidth="1"/>
    <col min="1043" max="1043" width="3.5546875" style="13" customWidth="1"/>
    <col min="1044" max="1044" width="6.21875" style="13" customWidth="1"/>
    <col min="1045" max="1045" width="8.21875" style="13" customWidth="1"/>
    <col min="1046" max="1046" width="6.21875" style="13" customWidth="1"/>
    <col min="1047" max="1047" width="7" style="13" customWidth="1"/>
    <col min="1048" max="1281" width="9.21875" style="13"/>
    <col min="1282" max="1282" width="7.77734375" style="13" customWidth="1"/>
    <col min="1283" max="1283" width="21.44140625" style="13" customWidth="1"/>
    <col min="1284" max="1284" width="7.21875" style="13" customWidth="1"/>
    <col min="1285" max="1285" width="10.21875" style="13" customWidth="1"/>
    <col min="1286" max="1286" width="8" style="13" customWidth="1"/>
    <col min="1287" max="1287" width="4.5546875" style="13" customWidth="1"/>
    <col min="1288" max="1288" width="6.21875" style="13" customWidth="1"/>
    <col min="1289" max="1289" width="4.77734375" style="13" customWidth="1"/>
    <col min="1290" max="1290" width="6.5546875" style="13" customWidth="1"/>
    <col min="1291" max="1291" width="5.77734375" style="13" customWidth="1"/>
    <col min="1292" max="1292" width="6.21875" style="13" customWidth="1"/>
    <col min="1293" max="1293" width="5.44140625" style="13" customWidth="1"/>
    <col min="1294" max="1294" width="6.21875" style="13" customWidth="1"/>
    <col min="1295" max="1295" width="5.21875" style="13" customWidth="1"/>
    <col min="1296" max="1296" width="10.21875" style="13" customWidth="1"/>
    <col min="1297" max="1297" width="7" style="13" customWidth="1"/>
    <col min="1298" max="1298" width="5.77734375" style="13" customWidth="1"/>
    <col min="1299" max="1299" width="3.5546875" style="13" customWidth="1"/>
    <col min="1300" max="1300" width="6.21875" style="13" customWidth="1"/>
    <col min="1301" max="1301" width="8.21875" style="13" customWidth="1"/>
    <col min="1302" max="1302" width="6.21875" style="13" customWidth="1"/>
    <col min="1303" max="1303" width="7" style="13" customWidth="1"/>
    <col min="1304" max="1537" width="9.21875" style="13"/>
    <col min="1538" max="1538" width="7.77734375" style="13" customWidth="1"/>
    <col min="1539" max="1539" width="21.44140625" style="13" customWidth="1"/>
    <col min="1540" max="1540" width="7.21875" style="13" customWidth="1"/>
    <col min="1541" max="1541" width="10.21875" style="13" customWidth="1"/>
    <col min="1542" max="1542" width="8" style="13" customWidth="1"/>
    <col min="1543" max="1543" width="4.5546875" style="13" customWidth="1"/>
    <col min="1544" max="1544" width="6.21875" style="13" customWidth="1"/>
    <col min="1545" max="1545" width="4.77734375" style="13" customWidth="1"/>
    <col min="1546" max="1546" width="6.5546875" style="13" customWidth="1"/>
    <col min="1547" max="1547" width="5.77734375" style="13" customWidth="1"/>
    <col min="1548" max="1548" width="6.21875" style="13" customWidth="1"/>
    <col min="1549" max="1549" width="5.44140625" style="13" customWidth="1"/>
    <col min="1550" max="1550" width="6.21875" style="13" customWidth="1"/>
    <col min="1551" max="1551" width="5.21875" style="13" customWidth="1"/>
    <col min="1552" max="1552" width="10.21875" style="13" customWidth="1"/>
    <col min="1553" max="1553" width="7" style="13" customWidth="1"/>
    <col min="1554" max="1554" width="5.77734375" style="13" customWidth="1"/>
    <col min="1555" max="1555" width="3.5546875" style="13" customWidth="1"/>
    <col min="1556" max="1556" width="6.21875" style="13" customWidth="1"/>
    <col min="1557" max="1557" width="8.21875" style="13" customWidth="1"/>
    <col min="1558" max="1558" width="6.21875" style="13" customWidth="1"/>
    <col min="1559" max="1559" width="7" style="13" customWidth="1"/>
    <col min="1560" max="1793" width="9.21875" style="13"/>
    <col min="1794" max="1794" width="7.77734375" style="13" customWidth="1"/>
    <col min="1795" max="1795" width="21.44140625" style="13" customWidth="1"/>
    <col min="1796" max="1796" width="7.21875" style="13" customWidth="1"/>
    <col min="1797" max="1797" width="10.21875" style="13" customWidth="1"/>
    <col min="1798" max="1798" width="8" style="13" customWidth="1"/>
    <col min="1799" max="1799" width="4.5546875" style="13" customWidth="1"/>
    <col min="1800" max="1800" width="6.21875" style="13" customWidth="1"/>
    <col min="1801" max="1801" width="4.77734375" style="13" customWidth="1"/>
    <col min="1802" max="1802" width="6.5546875" style="13" customWidth="1"/>
    <col min="1803" max="1803" width="5.77734375" style="13" customWidth="1"/>
    <col min="1804" max="1804" width="6.21875" style="13" customWidth="1"/>
    <col min="1805" max="1805" width="5.44140625" style="13" customWidth="1"/>
    <col min="1806" max="1806" width="6.21875" style="13" customWidth="1"/>
    <col min="1807" max="1807" width="5.21875" style="13" customWidth="1"/>
    <col min="1808" max="1808" width="10.21875" style="13" customWidth="1"/>
    <col min="1809" max="1809" width="7" style="13" customWidth="1"/>
    <col min="1810" max="1810" width="5.77734375" style="13" customWidth="1"/>
    <col min="1811" max="1811" width="3.5546875" style="13" customWidth="1"/>
    <col min="1812" max="1812" width="6.21875" style="13" customWidth="1"/>
    <col min="1813" max="1813" width="8.21875" style="13" customWidth="1"/>
    <col min="1814" max="1814" width="6.21875" style="13" customWidth="1"/>
    <col min="1815" max="1815" width="7" style="13" customWidth="1"/>
    <col min="1816" max="2049" width="9.21875" style="13"/>
    <col min="2050" max="2050" width="7.77734375" style="13" customWidth="1"/>
    <col min="2051" max="2051" width="21.44140625" style="13" customWidth="1"/>
    <col min="2052" max="2052" width="7.21875" style="13" customWidth="1"/>
    <col min="2053" max="2053" width="10.21875" style="13" customWidth="1"/>
    <col min="2054" max="2054" width="8" style="13" customWidth="1"/>
    <col min="2055" max="2055" width="4.5546875" style="13" customWidth="1"/>
    <col min="2056" max="2056" width="6.21875" style="13" customWidth="1"/>
    <col min="2057" max="2057" width="4.77734375" style="13" customWidth="1"/>
    <col min="2058" max="2058" width="6.5546875" style="13" customWidth="1"/>
    <col min="2059" max="2059" width="5.77734375" style="13" customWidth="1"/>
    <col min="2060" max="2060" width="6.21875" style="13" customWidth="1"/>
    <col min="2061" max="2061" width="5.44140625" style="13" customWidth="1"/>
    <col min="2062" max="2062" width="6.21875" style="13" customWidth="1"/>
    <col min="2063" max="2063" width="5.21875" style="13" customWidth="1"/>
    <col min="2064" max="2064" width="10.21875" style="13" customWidth="1"/>
    <col min="2065" max="2065" width="7" style="13" customWidth="1"/>
    <col min="2066" max="2066" width="5.77734375" style="13" customWidth="1"/>
    <col min="2067" max="2067" width="3.5546875" style="13" customWidth="1"/>
    <col min="2068" max="2068" width="6.21875" style="13" customWidth="1"/>
    <col min="2069" max="2069" width="8.21875" style="13" customWidth="1"/>
    <col min="2070" max="2070" width="6.21875" style="13" customWidth="1"/>
    <col min="2071" max="2071" width="7" style="13" customWidth="1"/>
    <col min="2072" max="2305" width="9.21875" style="13"/>
    <col min="2306" max="2306" width="7.77734375" style="13" customWidth="1"/>
    <col min="2307" max="2307" width="21.44140625" style="13" customWidth="1"/>
    <col min="2308" max="2308" width="7.21875" style="13" customWidth="1"/>
    <col min="2309" max="2309" width="10.21875" style="13" customWidth="1"/>
    <col min="2310" max="2310" width="8" style="13" customWidth="1"/>
    <col min="2311" max="2311" width="4.5546875" style="13" customWidth="1"/>
    <col min="2312" max="2312" width="6.21875" style="13" customWidth="1"/>
    <col min="2313" max="2313" width="4.77734375" style="13" customWidth="1"/>
    <col min="2314" max="2314" width="6.5546875" style="13" customWidth="1"/>
    <col min="2315" max="2315" width="5.77734375" style="13" customWidth="1"/>
    <col min="2316" max="2316" width="6.21875" style="13" customWidth="1"/>
    <col min="2317" max="2317" width="5.44140625" style="13" customWidth="1"/>
    <col min="2318" max="2318" width="6.21875" style="13" customWidth="1"/>
    <col min="2319" max="2319" width="5.21875" style="13" customWidth="1"/>
    <col min="2320" max="2320" width="10.21875" style="13" customWidth="1"/>
    <col min="2321" max="2321" width="7" style="13" customWidth="1"/>
    <col min="2322" max="2322" width="5.77734375" style="13" customWidth="1"/>
    <col min="2323" max="2323" width="3.5546875" style="13" customWidth="1"/>
    <col min="2324" max="2324" width="6.21875" style="13" customWidth="1"/>
    <col min="2325" max="2325" width="8.21875" style="13" customWidth="1"/>
    <col min="2326" max="2326" width="6.21875" style="13" customWidth="1"/>
    <col min="2327" max="2327" width="7" style="13" customWidth="1"/>
    <col min="2328" max="2561" width="9.21875" style="13"/>
    <col min="2562" max="2562" width="7.77734375" style="13" customWidth="1"/>
    <col min="2563" max="2563" width="21.44140625" style="13" customWidth="1"/>
    <col min="2564" max="2564" width="7.21875" style="13" customWidth="1"/>
    <col min="2565" max="2565" width="10.21875" style="13" customWidth="1"/>
    <col min="2566" max="2566" width="8" style="13" customWidth="1"/>
    <col min="2567" max="2567" width="4.5546875" style="13" customWidth="1"/>
    <col min="2568" max="2568" width="6.21875" style="13" customWidth="1"/>
    <col min="2569" max="2569" width="4.77734375" style="13" customWidth="1"/>
    <col min="2570" max="2570" width="6.5546875" style="13" customWidth="1"/>
    <col min="2571" max="2571" width="5.77734375" style="13" customWidth="1"/>
    <col min="2572" max="2572" width="6.21875" style="13" customWidth="1"/>
    <col min="2573" max="2573" width="5.44140625" style="13" customWidth="1"/>
    <col min="2574" max="2574" width="6.21875" style="13" customWidth="1"/>
    <col min="2575" max="2575" width="5.21875" style="13" customWidth="1"/>
    <col min="2576" max="2576" width="10.21875" style="13" customWidth="1"/>
    <col min="2577" max="2577" width="7" style="13" customWidth="1"/>
    <col min="2578" max="2578" width="5.77734375" style="13" customWidth="1"/>
    <col min="2579" max="2579" width="3.5546875" style="13" customWidth="1"/>
    <col min="2580" max="2580" width="6.21875" style="13" customWidth="1"/>
    <col min="2581" max="2581" width="8.21875" style="13" customWidth="1"/>
    <col min="2582" max="2582" width="6.21875" style="13" customWidth="1"/>
    <col min="2583" max="2583" width="7" style="13" customWidth="1"/>
    <col min="2584" max="2817" width="9.21875" style="13"/>
    <col min="2818" max="2818" width="7.77734375" style="13" customWidth="1"/>
    <col min="2819" max="2819" width="21.44140625" style="13" customWidth="1"/>
    <col min="2820" max="2820" width="7.21875" style="13" customWidth="1"/>
    <col min="2821" max="2821" width="10.21875" style="13" customWidth="1"/>
    <col min="2822" max="2822" width="8" style="13" customWidth="1"/>
    <col min="2823" max="2823" width="4.5546875" style="13" customWidth="1"/>
    <col min="2824" max="2824" width="6.21875" style="13" customWidth="1"/>
    <col min="2825" max="2825" width="4.77734375" style="13" customWidth="1"/>
    <col min="2826" max="2826" width="6.5546875" style="13" customWidth="1"/>
    <col min="2827" max="2827" width="5.77734375" style="13" customWidth="1"/>
    <col min="2828" max="2828" width="6.21875" style="13" customWidth="1"/>
    <col min="2829" max="2829" width="5.44140625" style="13" customWidth="1"/>
    <col min="2830" max="2830" width="6.21875" style="13" customWidth="1"/>
    <col min="2831" max="2831" width="5.21875" style="13" customWidth="1"/>
    <col min="2832" max="2832" width="10.21875" style="13" customWidth="1"/>
    <col min="2833" max="2833" width="7" style="13" customWidth="1"/>
    <col min="2834" max="2834" width="5.77734375" style="13" customWidth="1"/>
    <col min="2835" max="2835" width="3.5546875" style="13" customWidth="1"/>
    <col min="2836" max="2836" width="6.21875" style="13" customWidth="1"/>
    <col min="2837" max="2837" width="8.21875" style="13" customWidth="1"/>
    <col min="2838" max="2838" width="6.21875" style="13" customWidth="1"/>
    <col min="2839" max="2839" width="7" style="13" customWidth="1"/>
    <col min="2840" max="3073" width="9.21875" style="13"/>
    <col min="3074" max="3074" width="7.77734375" style="13" customWidth="1"/>
    <col min="3075" max="3075" width="21.44140625" style="13" customWidth="1"/>
    <col min="3076" max="3076" width="7.21875" style="13" customWidth="1"/>
    <col min="3077" max="3077" width="10.21875" style="13" customWidth="1"/>
    <col min="3078" max="3078" width="8" style="13" customWidth="1"/>
    <col min="3079" max="3079" width="4.5546875" style="13" customWidth="1"/>
    <col min="3080" max="3080" width="6.21875" style="13" customWidth="1"/>
    <col min="3081" max="3081" width="4.77734375" style="13" customWidth="1"/>
    <col min="3082" max="3082" width="6.5546875" style="13" customWidth="1"/>
    <col min="3083" max="3083" width="5.77734375" style="13" customWidth="1"/>
    <col min="3084" max="3084" width="6.21875" style="13" customWidth="1"/>
    <col min="3085" max="3085" width="5.44140625" style="13" customWidth="1"/>
    <col min="3086" max="3086" width="6.21875" style="13" customWidth="1"/>
    <col min="3087" max="3087" width="5.21875" style="13" customWidth="1"/>
    <col min="3088" max="3088" width="10.21875" style="13" customWidth="1"/>
    <col min="3089" max="3089" width="7" style="13" customWidth="1"/>
    <col min="3090" max="3090" width="5.77734375" style="13" customWidth="1"/>
    <col min="3091" max="3091" width="3.5546875" style="13" customWidth="1"/>
    <col min="3092" max="3092" width="6.21875" style="13" customWidth="1"/>
    <col min="3093" max="3093" width="8.21875" style="13" customWidth="1"/>
    <col min="3094" max="3094" width="6.21875" style="13" customWidth="1"/>
    <col min="3095" max="3095" width="7" style="13" customWidth="1"/>
    <col min="3096" max="3329" width="9.21875" style="13"/>
    <col min="3330" max="3330" width="7.77734375" style="13" customWidth="1"/>
    <col min="3331" max="3331" width="21.44140625" style="13" customWidth="1"/>
    <col min="3332" max="3332" width="7.21875" style="13" customWidth="1"/>
    <col min="3333" max="3333" width="10.21875" style="13" customWidth="1"/>
    <col min="3334" max="3334" width="8" style="13" customWidth="1"/>
    <col min="3335" max="3335" width="4.5546875" style="13" customWidth="1"/>
    <col min="3336" max="3336" width="6.21875" style="13" customWidth="1"/>
    <col min="3337" max="3337" width="4.77734375" style="13" customWidth="1"/>
    <col min="3338" max="3338" width="6.5546875" style="13" customWidth="1"/>
    <col min="3339" max="3339" width="5.77734375" style="13" customWidth="1"/>
    <col min="3340" max="3340" width="6.21875" style="13" customWidth="1"/>
    <col min="3341" max="3341" width="5.44140625" style="13" customWidth="1"/>
    <col min="3342" max="3342" width="6.21875" style="13" customWidth="1"/>
    <col min="3343" max="3343" width="5.21875" style="13" customWidth="1"/>
    <col min="3344" max="3344" width="10.21875" style="13" customWidth="1"/>
    <col min="3345" max="3345" width="7" style="13" customWidth="1"/>
    <col min="3346" max="3346" width="5.77734375" style="13" customWidth="1"/>
    <col min="3347" max="3347" width="3.5546875" style="13" customWidth="1"/>
    <col min="3348" max="3348" width="6.21875" style="13" customWidth="1"/>
    <col min="3349" max="3349" width="8.21875" style="13" customWidth="1"/>
    <col min="3350" max="3350" width="6.21875" style="13" customWidth="1"/>
    <col min="3351" max="3351" width="7" style="13" customWidth="1"/>
    <col min="3352" max="3585" width="9.21875" style="13"/>
    <col min="3586" max="3586" width="7.77734375" style="13" customWidth="1"/>
    <col min="3587" max="3587" width="21.44140625" style="13" customWidth="1"/>
    <col min="3588" max="3588" width="7.21875" style="13" customWidth="1"/>
    <col min="3589" max="3589" width="10.21875" style="13" customWidth="1"/>
    <col min="3590" max="3590" width="8" style="13" customWidth="1"/>
    <col min="3591" max="3591" width="4.5546875" style="13" customWidth="1"/>
    <col min="3592" max="3592" width="6.21875" style="13" customWidth="1"/>
    <col min="3593" max="3593" width="4.77734375" style="13" customWidth="1"/>
    <col min="3594" max="3594" width="6.5546875" style="13" customWidth="1"/>
    <col min="3595" max="3595" width="5.77734375" style="13" customWidth="1"/>
    <col min="3596" max="3596" width="6.21875" style="13" customWidth="1"/>
    <col min="3597" max="3597" width="5.44140625" style="13" customWidth="1"/>
    <col min="3598" max="3598" width="6.21875" style="13" customWidth="1"/>
    <col min="3599" max="3599" width="5.21875" style="13" customWidth="1"/>
    <col min="3600" max="3600" width="10.21875" style="13" customWidth="1"/>
    <col min="3601" max="3601" width="7" style="13" customWidth="1"/>
    <col min="3602" max="3602" width="5.77734375" style="13" customWidth="1"/>
    <col min="3603" max="3603" width="3.5546875" style="13" customWidth="1"/>
    <col min="3604" max="3604" width="6.21875" style="13" customWidth="1"/>
    <col min="3605" max="3605" width="8.21875" style="13" customWidth="1"/>
    <col min="3606" max="3606" width="6.21875" style="13" customWidth="1"/>
    <col min="3607" max="3607" width="7" style="13" customWidth="1"/>
    <col min="3608" max="3841" width="9.21875" style="13"/>
    <col min="3842" max="3842" width="7.77734375" style="13" customWidth="1"/>
    <col min="3843" max="3843" width="21.44140625" style="13" customWidth="1"/>
    <col min="3844" max="3844" width="7.21875" style="13" customWidth="1"/>
    <col min="3845" max="3845" width="10.21875" style="13" customWidth="1"/>
    <col min="3846" max="3846" width="8" style="13" customWidth="1"/>
    <col min="3847" max="3847" width="4.5546875" style="13" customWidth="1"/>
    <col min="3848" max="3848" width="6.21875" style="13" customWidth="1"/>
    <col min="3849" max="3849" width="4.77734375" style="13" customWidth="1"/>
    <col min="3850" max="3850" width="6.5546875" style="13" customWidth="1"/>
    <col min="3851" max="3851" width="5.77734375" style="13" customWidth="1"/>
    <col min="3852" max="3852" width="6.21875" style="13" customWidth="1"/>
    <col min="3853" max="3853" width="5.44140625" style="13" customWidth="1"/>
    <col min="3854" max="3854" width="6.21875" style="13" customWidth="1"/>
    <col min="3855" max="3855" width="5.21875" style="13" customWidth="1"/>
    <col min="3856" max="3856" width="10.21875" style="13" customWidth="1"/>
    <col min="3857" max="3857" width="7" style="13" customWidth="1"/>
    <col min="3858" max="3858" width="5.77734375" style="13" customWidth="1"/>
    <col min="3859" max="3859" width="3.5546875" style="13" customWidth="1"/>
    <col min="3860" max="3860" width="6.21875" style="13" customWidth="1"/>
    <col min="3861" max="3861" width="8.21875" style="13" customWidth="1"/>
    <col min="3862" max="3862" width="6.21875" style="13" customWidth="1"/>
    <col min="3863" max="3863" width="7" style="13" customWidth="1"/>
    <col min="3864" max="4097" width="9.21875" style="13"/>
    <col min="4098" max="4098" width="7.77734375" style="13" customWidth="1"/>
    <col min="4099" max="4099" width="21.44140625" style="13" customWidth="1"/>
    <col min="4100" max="4100" width="7.21875" style="13" customWidth="1"/>
    <col min="4101" max="4101" width="10.21875" style="13" customWidth="1"/>
    <col min="4102" max="4102" width="8" style="13" customWidth="1"/>
    <col min="4103" max="4103" width="4.5546875" style="13" customWidth="1"/>
    <col min="4104" max="4104" width="6.21875" style="13" customWidth="1"/>
    <col min="4105" max="4105" width="4.77734375" style="13" customWidth="1"/>
    <col min="4106" max="4106" width="6.5546875" style="13" customWidth="1"/>
    <col min="4107" max="4107" width="5.77734375" style="13" customWidth="1"/>
    <col min="4108" max="4108" width="6.21875" style="13" customWidth="1"/>
    <col min="4109" max="4109" width="5.44140625" style="13" customWidth="1"/>
    <col min="4110" max="4110" width="6.21875" style="13" customWidth="1"/>
    <col min="4111" max="4111" width="5.21875" style="13" customWidth="1"/>
    <col min="4112" max="4112" width="10.21875" style="13" customWidth="1"/>
    <col min="4113" max="4113" width="7" style="13" customWidth="1"/>
    <col min="4114" max="4114" width="5.77734375" style="13" customWidth="1"/>
    <col min="4115" max="4115" width="3.5546875" style="13" customWidth="1"/>
    <col min="4116" max="4116" width="6.21875" style="13" customWidth="1"/>
    <col min="4117" max="4117" width="8.21875" style="13" customWidth="1"/>
    <col min="4118" max="4118" width="6.21875" style="13" customWidth="1"/>
    <col min="4119" max="4119" width="7" style="13" customWidth="1"/>
    <col min="4120" max="4353" width="9.21875" style="13"/>
    <col min="4354" max="4354" width="7.77734375" style="13" customWidth="1"/>
    <col min="4355" max="4355" width="21.44140625" style="13" customWidth="1"/>
    <col min="4356" max="4356" width="7.21875" style="13" customWidth="1"/>
    <col min="4357" max="4357" width="10.21875" style="13" customWidth="1"/>
    <col min="4358" max="4358" width="8" style="13" customWidth="1"/>
    <col min="4359" max="4359" width="4.5546875" style="13" customWidth="1"/>
    <col min="4360" max="4360" width="6.21875" style="13" customWidth="1"/>
    <col min="4361" max="4361" width="4.77734375" style="13" customWidth="1"/>
    <col min="4362" max="4362" width="6.5546875" style="13" customWidth="1"/>
    <col min="4363" max="4363" width="5.77734375" style="13" customWidth="1"/>
    <col min="4364" max="4364" width="6.21875" style="13" customWidth="1"/>
    <col min="4365" max="4365" width="5.44140625" style="13" customWidth="1"/>
    <col min="4366" max="4366" width="6.21875" style="13" customWidth="1"/>
    <col min="4367" max="4367" width="5.21875" style="13" customWidth="1"/>
    <col min="4368" max="4368" width="10.21875" style="13" customWidth="1"/>
    <col min="4369" max="4369" width="7" style="13" customWidth="1"/>
    <col min="4370" max="4370" width="5.77734375" style="13" customWidth="1"/>
    <col min="4371" max="4371" width="3.5546875" style="13" customWidth="1"/>
    <col min="4372" max="4372" width="6.21875" style="13" customWidth="1"/>
    <col min="4373" max="4373" width="8.21875" style="13" customWidth="1"/>
    <col min="4374" max="4374" width="6.21875" style="13" customWidth="1"/>
    <col min="4375" max="4375" width="7" style="13" customWidth="1"/>
    <col min="4376" max="4609" width="9.21875" style="13"/>
    <col min="4610" max="4610" width="7.77734375" style="13" customWidth="1"/>
    <col min="4611" max="4611" width="21.44140625" style="13" customWidth="1"/>
    <col min="4612" max="4612" width="7.21875" style="13" customWidth="1"/>
    <col min="4613" max="4613" width="10.21875" style="13" customWidth="1"/>
    <col min="4614" max="4614" width="8" style="13" customWidth="1"/>
    <col min="4615" max="4615" width="4.5546875" style="13" customWidth="1"/>
    <col min="4616" max="4616" width="6.21875" style="13" customWidth="1"/>
    <col min="4617" max="4617" width="4.77734375" style="13" customWidth="1"/>
    <col min="4618" max="4618" width="6.5546875" style="13" customWidth="1"/>
    <col min="4619" max="4619" width="5.77734375" style="13" customWidth="1"/>
    <col min="4620" max="4620" width="6.21875" style="13" customWidth="1"/>
    <col min="4621" max="4621" width="5.44140625" style="13" customWidth="1"/>
    <col min="4622" max="4622" width="6.21875" style="13" customWidth="1"/>
    <col min="4623" max="4623" width="5.21875" style="13" customWidth="1"/>
    <col min="4624" max="4624" width="10.21875" style="13" customWidth="1"/>
    <col min="4625" max="4625" width="7" style="13" customWidth="1"/>
    <col min="4626" max="4626" width="5.77734375" style="13" customWidth="1"/>
    <col min="4627" max="4627" width="3.5546875" style="13" customWidth="1"/>
    <col min="4628" max="4628" width="6.21875" style="13" customWidth="1"/>
    <col min="4629" max="4629" width="8.21875" style="13" customWidth="1"/>
    <col min="4630" max="4630" width="6.21875" style="13" customWidth="1"/>
    <col min="4631" max="4631" width="7" style="13" customWidth="1"/>
    <col min="4632" max="4865" width="9.21875" style="13"/>
    <col min="4866" max="4866" width="7.77734375" style="13" customWidth="1"/>
    <col min="4867" max="4867" width="21.44140625" style="13" customWidth="1"/>
    <col min="4868" max="4868" width="7.21875" style="13" customWidth="1"/>
    <col min="4869" max="4869" width="10.21875" style="13" customWidth="1"/>
    <col min="4870" max="4870" width="8" style="13" customWidth="1"/>
    <col min="4871" max="4871" width="4.5546875" style="13" customWidth="1"/>
    <col min="4872" max="4872" width="6.21875" style="13" customWidth="1"/>
    <col min="4873" max="4873" width="4.77734375" style="13" customWidth="1"/>
    <col min="4874" max="4874" width="6.5546875" style="13" customWidth="1"/>
    <col min="4875" max="4875" width="5.77734375" style="13" customWidth="1"/>
    <col min="4876" max="4876" width="6.21875" style="13" customWidth="1"/>
    <col min="4877" max="4877" width="5.44140625" style="13" customWidth="1"/>
    <col min="4878" max="4878" width="6.21875" style="13" customWidth="1"/>
    <col min="4879" max="4879" width="5.21875" style="13" customWidth="1"/>
    <col min="4880" max="4880" width="10.21875" style="13" customWidth="1"/>
    <col min="4881" max="4881" width="7" style="13" customWidth="1"/>
    <col min="4882" max="4882" width="5.77734375" style="13" customWidth="1"/>
    <col min="4883" max="4883" width="3.5546875" style="13" customWidth="1"/>
    <col min="4884" max="4884" width="6.21875" style="13" customWidth="1"/>
    <col min="4885" max="4885" width="8.21875" style="13" customWidth="1"/>
    <col min="4886" max="4886" width="6.21875" style="13" customWidth="1"/>
    <col min="4887" max="4887" width="7" style="13" customWidth="1"/>
    <col min="4888" max="5121" width="9.21875" style="13"/>
    <col min="5122" max="5122" width="7.77734375" style="13" customWidth="1"/>
    <col min="5123" max="5123" width="21.44140625" style="13" customWidth="1"/>
    <col min="5124" max="5124" width="7.21875" style="13" customWidth="1"/>
    <col min="5125" max="5125" width="10.21875" style="13" customWidth="1"/>
    <col min="5126" max="5126" width="8" style="13" customWidth="1"/>
    <col min="5127" max="5127" width="4.5546875" style="13" customWidth="1"/>
    <col min="5128" max="5128" width="6.21875" style="13" customWidth="1"/>
    <col min="5129" max="5129" width="4.77734375" style="13" customWidth="1"/>
    <col min="5130" max="5130" width="6.5546875" style="13" customWidth="1"/>
    <col min="5131" max="5131" width="5.77734375" style="13" customWidth="1"/>
    <col min="5132" max="5132" width="6.21875" style="13" customWidth="1"/>
    <col min="5133" max="5133" width="5.44140625" style="13" customWidth="1"/>
    <col min="5134" max="5134" width="6.21875" style="13" customWidth="1"/>
    <col min="5135" max="5135" width="5.21875" style="13" customWidth="1"/>
    <col min="5136" max="5136" width="10.21875" style="13" customWidth="1"/>
    <col min="5137" max="5137" width="7" style="13" customWidth="1"/>
    <col min="5138" max="5138" width="5.77734375" style="13" customWidth="1"/>
    <col min="5139" max="5139" width="3.5546875" style="13" customWidth="1"/>
    <col min="5140" max="5140" width="6.21875" style="13" customWidth="1"/>
    <col min="5141" max="5141" width="8.21875" style="13" customWidth="1"/>
    <col min="5142" max="5142" width="6.21875" style="13" customWidth="1"/>
    <col min="5143" max="5143" width="7" style="13" customWidth="1"/>
    <col min="5144" max="5377" width="9.21875" style="13"/>
    <col min="5378" max="5378" width="7.77734375" style="13" customWidth="1"/>
    <col min="5379" max="5379" width="21.44140625" style="13" customWidth="1"/>
    <col min="5380" max="5380" width="7.21875" style="13" customWidth="1"/>
    <col min="5381" max="5381" width="10.21875" style="13" customWidth="1"/>
    <col min="5382" max="5382" width="8" style="13" customWidth="1"/>
    <col min="5383" max="5383" width="4.5546875" style="13" customWidth="1"/>
    <col min="5384" max="5384" width="6.21875" style="13" customWidth="1"/>
    <col min="5385" max="5385" width="4.77734375" style="13" customWidth="1"/>
    <col min="5386" max="5386" width="6.5546875" style="13" customWidth="1"/>
    <col min="5387" max="5387" width="5.77734375" style="13" customWidth="1"/>
    <col min="5388" max="5388" width="6.21875" style="13" customWidth="1"/>
    <col min="5389" max="5389" width="5.44140625" style="13" customWidth="1"/>
    <col min="5390" max="5390" width="6.21875" style="13" customWidth="1"/>
    <col min="5391" max="5391" width="5.21875" style="13" customWidth="1"/>
    <col min="5392" max="5392" width="10.21875" style="13" customWidth="1"/>
    <col min="5393" max="5393" width="7" style="13" customWidth="1"/>
    <col min="5394" max="5394" width="5.77734375" style="13" customWidth="1"/>
    <col min="5395" max="5395" width="3.5546875" style="13" customWidth="1"/>
    <col min="5396" max="5396" width="6.21875" style="13" customWidth="1"/>
    <col min="5397" max="5397" width="8.21875" style="13" customWidth="1"/>
    <col min="5398" max="5398" width="6.21875" style="13" customWidth="1"/>
    <col min="5399" max="5399" width="7" style="13" customWidth="1"/>
    <col min="5400" max="5633" width="9.21875" style="13"/>
    <col min="5634" max="5634" width="7.77734375" style="13" customWidth="1"/>
    <col min="5635" max="5635" width="21.44140625" style="13" customWidth="1"/>
    <col min="5636" max="5636" width="7.21875" style="13" customWidth="1"/>
    <col min="5637" max="5637" width="10.21875" style="13" customWidth="1"/>
    <col min="5638" max="5638" width="8" style="13" customWidth="1"/>
    <col min="5639" max="5639" width="4.5546875" style="13" customWidth="1"/>
    <col min="5640" max="5640" width="6.21875" style="13" customWidth="1"/>
    <col min="5641" max="5641" width="4.77734375" style="13" customWidth="1"/>
    <col min="5642" max="5642" width="6.5546875" style="13" customWidth="1"/>
    <col min="5643" max="5643" width="5.77734375" style="13" customWidth="1"/>
    <col min="5644" max="5644" width="6.21875" style="13" customWidth="1"/>
    <col min="5645" max="5645" width="5.44140625" style="13" customWidth="1"/>
    <col min="5646" max="5646" width="6.21875" style="13" customWidth="1"/>
    <col min="5647" max="5647" width="5.21875" style="13" customWidth="1"/>
    <col min="5648" max="5648" width="10.21875" style="13" customWidth="1"/>
    <col min="5649" max="5649" width="7" style="13" customWidth="1"/>
    <col min="5650" max="5650" width="5.77734375" style="13" customWidth="1"/>
    <col min="5651" max="5651" width="3.5546875" style="13" customWidth="1"/>
    <col min="5652" max="5652" width="6.21875" style="13" customWidth="1"/>
    <col min="5653" max="5653" width="8.21875" style="13" customWidth="1"/>
    <col min="5654" max="5654" width="6.21875" style="13" customWidth="1"/>
    <col min="5655" max="5655" width="7" style="13" customWidth="1"/>
    <col min="5656" max="5889" width="9.21875" style="13"/>
    <col min="5890" max="5890" width="7.77734375" style="13" customWidth="1"/>
    <col min="5891" max="5891" width="21.44140625" style="13" customWidth="1"/>
    <col min="5892" max="5892" width="7.21875" style="13" customWidth="1"/>
    <col min="5893" max="5893" width="10.21875" style="13" customWidth="1"/>
    <col min="5894" max="5894" width="8" style="13" customWidth="1"/>
    <col min="5895" max="5895" width="4.5546875" style="13" customWidth="1"/>
    <col min="5896" max="5896" width="6.21875" style="13" customWidth="1"/>
    <col min="5897" max="5897" width="4.77734375" style="13" customWidth="1"/>
    <col min="5898" max="5898" width="6.5546875" style="13" customWidth="1"/>
    <col min="5899" max="5899" width="5.77734375" style="13" customWidth="1"/>
    <col min="5900" max="5900" width="6.21875" style="13" customWidth="1"/>
    <col min="5901" max="5901" width="5.44140625" style="13" customWidth="1"/>
    <col min="5902" max="5902" width="6.21875" style="13" customWidth="1"/>
    <col min="5903" max="5903" width="5.21875" style="13" customWidth="1"/>
    <col min="5904" max="5904" width="10.21875" style="13" customWidth="1"/>
    <col min="5905" max="5905" width="7" style="13" customWidth="1"/>
    <col min="5906" max="5906" width="5.77734375" style="13" customWidth="1"/>
    <col min="5907" max="5907" width="3.5546875" style="13" customWidth="1"/>
    <col min="5908" max="5908" width="6.21875" style="13" customWidth="1"/>
    <col min="5909" max="5909" width="8.21875" style="13" customWidth="1"/>
    <col min="5910" max="5910" width="6.21875" style="13" customWidth="1"/>
    <col min="5911" max="5911" width="7" style="13" customWidth="1"/>
    <col min="5912" max="6145" width="9.21875" style="13"/>
    <col min="6146" max="6146" width="7.77734375" style="13" customWidth="1"/>
    <col min="6147" max="6147" width="21.44140625" style="13" customWidth="1"/>
    <col min="6148" max="6148" width="7.21875" style="13" customWidth="1"/>
    <col min="6149" max="6149" width="10.21875" style="13" customWidth="1"/>
    <col min="6150" max="6150" width="8" style="13" customWidth="1"/>
    <col min="6151" max="6151" width="4.5546875" style="13" customWidth="1"/>
    <col min="6152" max="6152" width="6.21875" style="13" customWidth="1"/>
    <col min="6153" max="6153" width="4.77734375" style="13" customWidth="1"/>
    <col min="6154" max="6154" width="6.5546875" style="13" customWidth="1"/>
    <col min="6155" max="6155" width="5.77734375" style="13" customWidth="1"/>
    <col min="6156" max="6156" width="6.21875" style="13" customWidth="1"/>
    <col min="6157" max="6157" width="5.44140625" style="13" customWidth="1"/>
    <col min="6158" max="6158" width="6.21875" style="13" customWidth="1"/>
    <col min="6159" max="6159" width="5.21875" style="13" customWidth="1"/>
    <col min="6160" max="6160" width="10.21875" style="13" customWidth="1"/>
    <col min="6161" max="6161" width="7" style="13" customWidth="1"/>
    <col min="6162" max="6162" width="5.77734375" style="13" customWidth="1"/>
    <col min="6163" max="6163" width="3.5546875" style="13" customWidth="1"/>
    <col min="6164" max="6164" width="6.21875" style="13" customWidth="1"/>
    <col min="6165" max="6165" width="8.21875" style="13" customWidth="1"/>
    <col min="6166" max="6166" width="6.21875" style="13" customWidth="1"/>
    <col min="6167" max="6167" width="7" style="13" customWidth="1"/>
    <col min="6168" max="6401" width="9.21875" style="13"/>
    <col min="6402" max="6402" width="7.77734375" style="13" customWidth="1"/>
    <col min="6403" max="6403" width="21.44140625" style="13" customWidth="1"/>
    <col min="6404" max="6404" width="7.21875" style="13" customWidth="1"/>
    <col min="6405" max="6405" width="10.21875" style="13" customWidth="1"/>
    <col min="6406" max="6406" width="8" style="13" customWidth="1"/>
    <col min="6407" max="6407" width="4.5546875" style="13" customWidth="1"/>
    <col min="6408" max="6408" width="6.21875" style="13" customWidth="1"/>
    <col min="6409" max="6409" width="4.77734375" style="13" customWidth="1"/>
    <col min="6410" max="6410" width="6.5546875" style="13" customWidth="1"/>
    <col min="6411" max="6411" width="5.77734375" style="13" customWidth="1"/>
    <col min="6412" max="6412" width="6.21875" style="13" customWidth="1"/>
    <col min="6413" max="6413" width="5.44140625" style="13" customWidth="1"/>
    <col min="6414" max="6414" width="6.21875" style="13" customWidth="1"/>
    <col min="6415" max="6415" width="5.21875" style="13" customWidth="1"/>
    <col min="6416" max="6416" width="10.21875" style="13" customWidth="1"/>
    <col min="6417" max="6417" width="7" style="13" customWidth="1"/>
    <col min="6418" max="6418" width="5.77734375" style="13" customWidth="1"/>
    <col min="6419" max="6419" width="3.5546875" style="13" customWidth="1"/>
    <col min="6420" max="6420" width="6.21875" style="13" customWidth="1"/>
    <col min="6421" max="6421" width="8.21875" style="13" customWidth="1"/>
    <col min="6422" max="6422" width="6.21875" style="13" customWidth="1"/>
    <col min="6423" max="6423" width="7" style="13" customWidth="1"/>
    <col min="6424" max="6657" width="9.21875" style="13"/>
    <col min="6658" max="6658" width="7.77734375" style="13" customWidth="1"/>
    <col min="6659" max="6659" width="21.44140625" style="13" customWidth="1"/>
    <col min="6660" max="6660" width="7.21875" style="13" customWidth="1"/>
    <col min="6661" max="6661" width="10.21875" style="13" customWidth="1"/>
    <col min="6662" max="6662" width="8" style="13" customWidth="1"/>
    <col min="6663" max="6663" width="4.5546875" style="13" customWidth="1"/>
    <col min="6664" max="6664" width="6.21875" style="13" customWidth="1"/>
    <col min="6665" max="6665" width="4.77734375" style="13" customWidth="1"/>
    <col min="6666" max="6666" width="6.5546875" style="13" customWidth="1"/>
    <col min="6667" max="6667" width="5.77734375" style="13" customWidth="1"/>
    <col min="6668" max="6668" width="6.21875" style="13" customWidth="1"/>
    <col min="6669" max="6669" width="5.44140625" style="13" customWidth="1"/>
    <col min="6670" max="6670" width="6.21875" style="13" customWidth="1"/>
    <col min="6671" max="6671" width="5.21875" style="13" customWidth="1"/>
    <col min="6672" max="6672" width="10.21875" style="13" customWidth="1"/>
    <col min="6673" max="6673" width="7" style="13" customWidth="1"/>
    <col min="6674" max="6674" width="5.77734375" style="13" customWidth="1"/>
    <col min="6675" max="6675" width="3.5546875" style="13" customWidth="1"/>
    <col min="6676" max="6676" width="6.21875" style="13" customWidth="1"/>
    <col min="6677" max="6677" width="8.21875" style="13" customWidth="1"/>
    <col min="6678" max="6678" width="6.21875" style="13" customWidth="1"/>
    <col min="6679" max="6679" width="7" style="13" customWidth="1"/>
    <col min="6680" max="6913" width="9.21875" style="13"/>
    <col min="6914" max="6914" width="7.77734375" style="13" customWidth="1"/>
    <col min="6915" max="6915" width="21.44140625" style="13" customWidth="1"/>
    <col min="6916" max="6916" width="7.21875" style="13" customWidth="1"/>
    <col min="6917" max="6917" width="10.21875" style="13" customWidth="1"/>
    <col min="6918" max="6918" width="8" style="13" customWidth="1"/>
    <col min="6919" max="6919" width="4.5546875" style="13" customWidth="1"/>
    <col min="6920" max="6920" width="6.21875" style="13" customWidth="1"/>
    <col min="6921" max="6921" width="4.77734375" style="13" customWidth="1"/>
    <col min="6922" max="6922" width="6.5546875" style="13" customWidth="1"/>
    <col min="6923" max="6923" width="5.77734375" style="13" customWidth="1"/>
    <col min="6924" max="6924" width="6.21875" style="13" customWidth="1"/>
    <col min="6925" max="6925" width="5.44140625" style="13" customWidth="1"/>
    <col min="6926" max="6926" width="6.21875" style="13" customWidth="1"/>
    <col min="6927" max="6927" width="5.21875" style="13" customWidth="1"/>
    <col min="6928" max="6928" width="10.21875" style="13" customWidth="1"/>
    <col min="6929" max="6929" width="7" style="13" customWidth="1"/>
    <col min="6930" max="6930" width="5.77734375" style="13" customWidth="1"/>
    <col min="6931" max="6931" width="3.5546875" style="13" customWidth="1"/>
    <col min="6932" max="6932" width="6.21875" style="13" customWidth="1"/>
    <col min="6933" max="6933" width="8.21875" style="13" customWidth="1"/>
    <col min="6934" max="6934" width="6.21875" style="13" customWidth="1"/>
    <col min="6935" max="6935" width="7" style="13" customWidth="1"/>
    <col min="6936" max="7169" width="9.21875" style="13"/>
    <col min="7170" max="7170" width="7.77734375" style="13" customWidth="1"/>
    <col min="7171" max="7171" width="21.44140625" style="13" customWidth="1"/>
    <col min="7172" max="7172" width="7.21875" style="13" customWidth="1"/>
    <col min="7173" max="7173" width="10.21875" style="13" customWidth="1"/>
    <col min="7174" max="7174" width="8" style="13" customWidth="1"/>
    <col min="7175" max="7175" width="4.5546875" style="13" customWidth="1"/>
    <col min="7176" max="7176" width="6.21875" style="13" customWidth="1"/>
    <col min="7177" max="7177" width="4.77734375" style="13" customWidth="1"/>
    <col min="7178" max="7178" width="6.5546875" style="13" customWidth="1"/>
    <col min="7179" max="7179" width="5.77734375" style="13" customWidth="1"/>
    <col min="7180" max="7180" width="6.21875" style="13" customWidth="1"/>
    <col min="7181" max="7181" width="5.44140625" style="13" customWidth="1"/>
    <col min="7182" max="7182" width="6.21875" style="13" customWidth="1"/>
    <col min="7183" max="7183" width="5.21875" style="13" customWidth="1"/>
    <col min="7184" max="7184" width="10.21875" style="13" customWidth="1"/>
    <col min="7185" max="7185" width="7" style="13" customWidth="1"/>
    <col min="7186" max="7186" width="5.77734375" style="13" customWidth="1"/>
    <col min="7187" max="7187" width="3.5546875" style="13" customWidth="1"/>
    <col min="7188" max="7188" width="6.21875" style="13" customWidth="1"/>
    <col min="7189" max="7189" width="8.21875" style="13" customWidth="1"/>
    <col min="7190" max="7190" width="6.21875" style="13" customWidth="1"/>
    <col min="7191" max="7191" width="7" style="13" customWidth="1"/>
    <col min="7192" max="7425" width="9.21875" style="13"/>
    <col min="7426" max="7426" width="7.77734375" style="13" customWidth="1"/>
    <col min="7427" max="7427" width="21.44140625" style="13" customWidth="1"/>
    <col min="7428" max="7428" width="7.21875" style="13" customWidth="1"/>
    <col min="7429" max="7429" width="10.21875" style="13" customWidth="1"/>
    <col min="7430" max="7430" width="8" style="13" customWidth="1"/>
    <col min="7431" max="7431" width="4.5546875" style="13" customWidth="1"/>
    <col min="7432" max="7432" width="6.21875" style="13" customWidth="1"/>
    <col min="7433" max="7433" width="4.77734375" style="13" customWidth="1"/>
    <col min="7434" max="7434" width="6.5546875" style="13" customWidth="1"/>
    <col min="7435" max="7435" width="5.77734375" style="13" customWidth="1"/>
    <col min="7436" max="7436" width="6.21875" style="13" customWidth="1"/>
    <col min="7437" max="7437" width="5.44140625" style="13" customWidth="1"/>
    <col min="7438" max="7438" width="6.21875" style="13" customWidth="1"/>
    <col min="7439" max="7439" width="5.21875" style="13" customWidth="1"/>
    <col min="7440" max="7440" width="10.21875" style="13" customWidth="1"/>
    <col min="7441" max="7441" width="7" style="13" customWidth="1"/>
    <col min="7442" max="7442" width="5.77734375" style="13" customWidth="1"/>
    <col min="7443" max="7443" width="3.5546875" style="13" customWidth="1"/>
    <col min="7444" max="7444" width="6.21875" style="13" customWidth="1"/>
    <col min="7445" max="7445" width="8.21875" style="13" customWidth="1"/>
    <col min="7446" max="7446" width="6.21875" style="13" customWidth="1"/>
    <col min="7447" max="7447" width="7" style="13" customWidth="1"/>
    <col min="7448" max="7681" width="9.21875" style="13"/>
    <col min="7682" max="7682" width="7.77734375" style="13" customWidth="1"/>
    <col min="7683" max="7683" width="21.44140625" style="13" customWidth="1"/>
    <col min="7684" max="7684" width="7.21875" style="13" customWidth="1"/>
    <col min="7685" max="7685" width="10.21875" style="13" customWidth="1"/>
    <col min="7686" max="7686" width="8" style="13" customWidth="1"/>
    <col min="7687" max="7687" width="4.5546875" style="13" customWidth="1"/>
    <col min="7688" max="7688" width="6.21875" style="13" customWidth="1"/>
    <col min="7689" max="7689" width="4.77734375" style="13" customWidth="1"/>
    <col min="7690" max="7690" width="6.5546875" style="13" customWidth="1"/>
    <col min="7691" max="7691" width="5.77734375" style="13" customWidth="1"/>
    <col min="7692" max="7692" width="6.21875" style="13" customWidth="1"/>
    <col min="7693" max="7693" width="5.44140625" style="13" customWidth="1"/>
    <col min="7694" max="7694" width="6.21875" style="13" customWidth="1"/>
    <col min="7695" max="7695" width="5.21875" style="13" customWidth="1"/>
    <col min="7696" max="7696" width="10.21875" style="13" customWidth="1"/>
    <col min="7697" max="7697" width="7" style="13" customWidth="1"/>
    <col min="7698" max="7698" width="5.77734375" style="13" customWidth="1"/>
    <col min="7699" max="7699" width="3.5546875" style="13" customWidth="1"/>
    <col min="7700" max="7700" width="6.21875" style="13" customWidth="1"/>
    <col min="7701" max="7701" width="8.21875" style="13" customWidth="1"/>
    <col min="7702" max="7702" width="6.21875" style="13" customWidth="1"/>
    <col min="7703" max="7703" width="7" style="13" customWidth="1"/>
    <col min="7704" max="7937" width="9.21875" style="13"/>
    <col min="7938" max="7938" width="7.77734375" style="13" customWidth="1"/>
    <col min="7939" max="7939" width="21.44140625" style="13" customWidth="1"/>
    <col min="7940" max="7940" width="7.21875" style="13" customWidth="1"/>
    <col min="7941" max="7941" width="10.21875" style="13" customWidth="1"/>
    <col min="7942" max="7942" width="8" style="13" customWidth="1"/>
    <col min="7943" max="7943" width="4.5546875" style="13" customWidth="1"/>
    <col min="7944" max="7944" width="6.21875" style="13" customWidth="1"/>
    <col min="7945" max="7945" width="4.77734375" style="13" customWidth="1"/>
    <col min="7946" max="7946" width="6.5546875" style="13" customWidth="1"/>
    <col min="7947" max="7947" width="5.77734375" style="13" customWidth="1"/>
    <col min="7948" max="7948" width="6.21875" style="13" customWidth="1"/>
    <col min="7949" max="7949" width="5.44140625" style="13" customWidth="1"/>
    <col min="7950" max="7950" width="6.21875" style="13" customWidth="1"/>
    <col min="7951" max="7951" width="5.21875" style="13" customWidth="1"/>
    <col min="7952" max="7952" width="10.21875" style="13" customWidth="1"/>
    <col min="7953" max="7953" width="7" style="13" customWidth="1"/>
    <col min="7954" max="7954" width="5.77734375" style="13" customWidth="1"/>
    <col min="7955" max="7955" width="3.5546875" style="13" customWidth="1"/>
    <col min="7956" max="7956" width="6.21875" style="13" customWidth="1"/>
    <col min="7957" max="7957" width="8.21875" style="13" customWidth="1"/>
    <col min="7958" max="7958" width="6.21875" style="13" customWidth="1"/>
    <col min="7959" max="7959" width="7" style="13" customWidth="1"/>
    <col min="7960" max="8193" width="9.21875" style="13"/>
    <col min="8194" max="8194" width="7.77734375" style="13" customWidth="1"/>
    <col min="8195" max="8195" width="21.44140625" style="13" customWidth="1"/>
    <col min="8196" max="8196" width="7.21875" style="13" customWidth="1"/>
    <col min="8197" max="8197" width="10.21875" style="13" customWidth="1"/>
    <col min="8198" max="8198" width="8" style="13" customWidth="1"/>
    <col min="8199" max="8199" width="4.5546875" style="13" customWidth="1"/>
    <col min="8200" max="8200" width="6.21875" style="13" customWidth="1"/>
    <col min="8201" max="8201" width="4.77734375" style="13" customWidth="1"/>
    <col min="8202" max="8202" width="6.5546875" style="13" customWidth="1"/>
    <col min="8203" max="8203" width="5.77734375" style="13" customWidth="1"/>
    <col min="8204" max="8204" width="6.21875" style="13" customWidth="1"/>
    <col min="8205" max="8205" width="5.44140625" style="13" customWidth="1"/>
    <col min="8206" max="8206" width="6.21875" style="13" customWidth="1"/>
    <col min="8207" max="8207" width="5.21875" style="13" customWidth="1"/>
    <col min="8208" max="8208" width="10.21875" style="13" customWidth="1"/>
    <col min="8209" max="8209" width="7" style="13" customWidth="1"/>
    <col min="8210" max="8210" width="5.77734375" style="13" customWidth="1"/>
    <col min="8211" max="8211" width="3.5546875" style="13" customWidth="1"/>
    <col min="8212" max="8212" width="6.21875" style="13" customWidth="1"/>
    <col min="8213" max="8213" width="8.21875" style="13" customWidth="1"/>
    <col min="8214" max="8214" width="6.21875" style="13" customWidth="1"/>
    <col min="8215" max="8215" width="7" style="13" customWidth="1"/>
    <col min="8216" max="8449" width="9.21875" style="13"/>
    <col min="8450" max="8450" width="7.77734375" style="13" customWidth="1"/>
    <col min="8451" max="8451" width="21.44140625" style="13" customWidth="1"/>
    <col min="8452" max="8452" width="7.21875" style="13" customWidth="1"/>
    <col min="8453" max="8453" width="10.21875" style="13" customWidth="1"/>
    <col min="8454" max="8454" width="8" style="13" customWidth="1"/>
    <col min="8455" max="8455" width="4.5546875" style="13" customWidth="1"/>
    <col min="8456" max="8456" width="6.21875" style="13" customWidth="1"/>
    <col min="8457" max="8457" width="4.77734375" style="13" customWidth="1"/>
    <col min="8458" max="8458" width="6.5546875" style="13" customWidth="1"/>
    <col min="8459" max="8459" width="5.77734375" style="13" customWidth="1"/>
    <col min="8460" max="8460" width="6.21875" style="13" customWidth="1"/>
    <col min="8461" max="8461" width="5.44140625" style="13" customWidth="1"/>
    <col min="8462" max="8462" width="6.21875" style="13" customWidth="1"/>
    <col min="8463" max="8463" width="5.21875" style="13" customWidth="1"/>
    <col min="8464" max="8464" width="10.21875" style="13" customWidth="1"/>
    <col min="8465" max="8465" width="7" style="13" customWidth="1"/>
    <col min="8466" max="8466" width="5.77734375" style="13" customWidth="1"/>
    <col min="8467" max="8467" width="3.5546875" style="13" customWidth="1"/>
    <col min="8468" max="8468" width="6.21875" style="13" customWidth="1"/>
    <col min="8469" max="8469" width="8.21875" style="13" customWidth="1"/>
    <col min="8470" max="8470" width="6.21875" style="13" customWidth="1"/>
    <col min="8471" max="8471" width="7" style="13" customWidth="1"/>
    <col min="8472" max="8705" width="9.21875" style="13"/>
    <col min="8706" max="8706" width="7.77734375" style="13" customWidth="1"/>
    <col min="8707" max="8707" width="21.44140625" style="13" customWidth="1"/>
    <col min="8708" max="8708" width="7.21875" style="13" customWidth="1"/>
    <col min="8709" max="8709" width="10.21875" style="13" customWidth="1"/>
    <col min="8710" max="8710" width="8" style="13" customWidth="1"/>
    <col min="8711" max="8711" width="4.5546875" style="13" customWidth="1"/>
    <col min="8712" max="8712" width="6.21875" style="13" customWidth="1"/>
    <col min="8713" max="8713" width="4.77734375" style="13" customWidth="1"/>
    <col min="8714" max="8714" width="6.5546875" style="13" customWidth="1"/>
    <col min="8715" max="8715" width="5.77734375" style="13" customWidth="1"/>
    <col min="8716" max="8716" width="6.21875" style="13" customWidth="1"/>
    <col min="8717" max="8717" width="5.44140625" style="13" customWidth="1"/>
    <col min="8718" max="8718" width="6.21875" style="13" customWidth="1"/>
    <col min="8719" max="8719" width="5.21875" style="13" customWidth="1"/>
    <col min="8720" max="8720" width="10.21875" style="13" customWidth="1"/>
    <col min="8721" max="8721" width="7" style="13" customWidth="1"/>
    <col min="8722" max="8722" width="5.77734375" style="13" customWidth="1"/>
    <col min="8723" max="8723" width="3.5546875" style="13" customWidth="1"/>
    <col min="8724" max="8724" width="6.21875" style="13" customWidth="1"/>
    <col min="8725" max="8725" width="8.21875" style="13" customWidth="1"/>
    <col min="8726" max="8726" width="6.21875" style="13" customWidth="1"/>
    <col min="8727" max="8727" width="7" style="13" customWidth="1"/>
    <col min="8728" max="8961" width="9.21875" style="13"/>
    <col min="8962" max="8962" width="7.77734375" style="13" customWidth="1"/>
    <col min="8963" max="8963" width="21.44140625" style="13" customWidth="1"/>
    <col min="8964" max="8964" width="7.21875" style="13" customWidth="1"/>
    <col min="8965" max="8965" width="10.21875" style="13" customWidth="1"/>
    <col min="8966" max="8966" width="8" style="13" customWidth="1"/>
    <col min="8967" max="8967" width="4.5546875" style="13" customWidth="1"/>
    <col min="8968" max="8968" width="6.21875" style="13" customWidth="1"/>
    <col min="8969" max="8969" width="4.77734375" style="13" customWidth="1"/>
    <col min="8970" max="8970" width="6.5546875" style="13" customWidth="1"/>
    <col min="8971" max="8971" width="5.77734375" style="13" customWidth="1"/>
    <col min="8972" max="8972" width="6.21875" style="13" customWidth="1"/>
    <col min="8973" max="8973" width="5.44140625" style="13" customWidth="1"/>
    <col min="8974" max="8974" width="6.21875" style="13" customWidth="1"/>
    <col min="8975" max="8975" width="5.21875" style="13" customWidth="1"/>
    <col min="8976" max="8976" width="10.21875" style="13" customWidth="1"/>
    <col min="8977" max="8977" width="7" style="13" customWidth="1"/>
    <col min="8978" max="8978" width="5.77734375" style="13" customWidth="1"/>
    <col min="8979" max="8979" width="3.5546875" style="13" customWidth="1"/>
    <col min="8980" max="8980" width="6.21875" style="13" customWidth="1"/>
    <col min="8981" max="8981" width="8.21875" style="13" customWidth="1"/>
    <col min="8982" max="8982" width="6.21875" style="13" customWidth="1"/>
    <col min="8983" max="8983" width="7" style="13" customWidth="1"/>
    <col min="8984" max="9217" width="9.21875" style="13"/>
    <col min="9218" max="9218" width="7.77734375" style="13" customWidth="1"/>
    <col min="9219" max="9219" width="21.44140625" style="13" customWidth="1"/>
    <col min="9220" max="9220" width="7.21875" style="13" customWidth="1"/>
    <col min="9221" max="9221" width="10.21875" style="13" customWidth="1"/>
    <col min="9222" max="9222" width="8" style="13" customWidth="1"/>
    <col min="9223" max="9223" width="4.5546875" style="13" customWidth="1"/>
    <col min="9224" max="9224" width="6.21875" style="13" customWidth="1"/>
    <col min="9225" max="9225" width="4.77734375" style="13" customWidth="1"/>
    <col min="9226" max="9226" width="6.5546875" style="13" customWidth="1"/>
    <col min="9227" max="9227" width="5.77734375" style="13" customWidth="1"/>
    <col min="9228" max="9228" width="6.21875" style="13" customWidth="1"/>
    <col min="9229" max="9229" width="5.44140625" style="13" customWidth="1"/>
    <col min="9230" max="9230" width="6.21875" style="13" customWidth="1"/>
    <col min="9231" max="9231" width="5.21875" style="13" customWidth="1"/>
    <col min="9232" max="9232" width="10.21875" style="13" customWidth="1"/>
    <col min="9233" max="9233" width="7" style="13" customWidth="1"/>
    <col min="9234" max="9234" width="5.77734375" style="13" customWidth="1"/>
    <col min="9235" max="9235" width="3.5546875" style="13" customWidth="1"/>
    <col min="9236" max="9236" width="6.21875" style="13" customWidth="1"/>
    <col min="9237" max="9237" width="8.21875" style="13" customWidth="1"/>
    <col min="9238" max="9238" width="6.21875" style="13" customWidth="1"/>
    <col min="9239" max="9239" width="7" style="13" customWidth="1"/>
    <col min="9240" max="9473" width="9.21875" style="13"/>
    <col min="9474" max="9474" width="7.77734375" style="13" customWidth="1"/>
    <col min="9475" max="9475" width="21.44140625" style="13" customWidth="1"/>
    <col min="9476" max="9476" width="7.21875" style="13" customWidth="1"/>
    <col min="9477" max="9477" width="10.21875" style="13" customWidth="1"/>
    <col min="9478" max="9478" width="8" style="13" customWidth="1"/>
    <col min="9479" max="9479" width="4.5546875" style="13" customWidth="1"/>
    <col min="9480" max="9480" width="6.21875" style="13" customWidth="1"/>
    <col min="9481" max="9481" width="4.77734375" style="13" customWidth="1"/>
    <col min="9482" max="9482" width="6.5546875" style="13" customWidth="1"/>
    <col min="9483" max="9483" width="5.77734375" style="13" customWidth="1"/>
    <col min="9484" max="9484" width="6.21875" style="13" customWidth="1"/>
    <col min="9485" max="9485" width="5.44140625" style="13" customWidth="1"/>
    <col min="9486" max="9486" width="6.21875" style="13" customWidth="1"/>
    <col min="9487" max="9487" width="5.21875" style="13" customWidth="1"/>
    <col min="9488" max="9488" width="10.21875" style="13" customWidth="1"/>
    <col min="9489" max="9489" width="7" style="13" customWidth="1"/>
    <col min="9490" max="9490" width="5.77734375" style="13" customWidth="1"/>
    <col min="9491" max="9491" width="3.5546875" style="13" customWidth="1"/>
    <col min="9492" max="9492" width="6.21875" style="13" customWidth="1"/>
    <col min="9493" max="9493" width="8.21875" style="13" customWidth="1"/>
    <col min="9494" max="9494" width="6.21875" style="13" customWidth="1"/>
    <col min="9495" max="9495" width="7" style="13" customWidth="1"/>
    <col min="9496" max="9729" width="9.21875" style="13"/>
    <col min="9730" max="9730" width="7.77734375" style="13" customWidth="1"/>
    <col min="9731" max="9731" width="21.44140625" style="13" customWidth="1"/>
    <col min="9732" max="9732" width="7.21875" style="13" customWidth="1"/>
    <col min="9733" max="9733" width="10.21875" style="13" customWidth="1"/>
    <col min="9734" max="9734" width="8" style="13" customWidth="1"/>
    <col min="9735" max="9735" width="4.5546875" style="13" customWidth="1"/>
    <col min="9736" max="9736" width="6.21875" style="13" customWidth="1"/>
    <col min="9737" max="9737" width="4.77734375" style="13" customWidth="1"/>
    <col min="9738" max="9738" width="6.5546875" style="13" customWidth="1"/>
    <col min="9739" max="9739" width="5.77734375" style="13" customWidth="1"/>
    <col min="9740" max="9740" width="6.21875" style="13" customWidth="1"/>
    <col min="9741" max="9741" width="5.44140625" style="13" customWidth="1"/>
    <col min="9742" max="9742" width="6.21875" style="13" customWidth="1"/>
    <col min="9743" max="9743" width="5.21875" style="13" customWidth="1"/>
    <col min="9744" max="9744" width="10.21875" style="13" customWidth="1"/>
    <col min="9745" max="9745" width="7" style="13" customWidth="1"/>
    <col min="9746" max="9746" width="5.77734375" style="13" customWidth="1"/>
    <col min="9747" max="9747" width="3.5546875" style="13" customWidth="1"/>
    <col min="9748" max="9748" width="6.21875" style="13" customWidth="1"/>
    <col min="9749" max="9749" width="8.21875" style="13" customWidth="1"/>
    <col min="9750" max="9750" width="6.21875" style="13" customWidth="1"/>
    <col min="9751" max="9751" width="7" style="13" customWidth="1"/>
    <col min="9752" max="9985" width="9.21875" style="13"/>
    <col min="9986" max="9986" width="7.77734375" style="13" customWidth="1"/>
    <col min="9987" max="9987" width="21.44140625" style="13" customWidth="1"/>
    <col min="9988" max="9988" width="7.21875" style="13" customWidth="1"/>
    <col min="9989" max="9989" width="10.21875" style="13" customWidth="1"/>
    <col min="9990" max="9990" width="8" style="13" customWidth="1"/>
    <col min="9991" max="9991" width="4.5546875" style="13" customWidth="1"/>
    <col min="9992" max="9992" width="6.21875" style="13" customWidth="1"/>
    <col min="9993" max="9993" width="4.77734375" style="13" customWidth="1"/>
    <col min="9994" max="9994" width="6.5546875" style="13" customWidth="1"/>
    <col min="9995" max="9995" width="5.77734375" style="13" customWidth="1"/>
    <col min="9996" max="9996" width="6.21875" style="13" customWidth="1"/>
    <col min="9997" max="9997" width="5.44140625" style="13" customWidth="1"/>
    <col min="9998" max="9998" width="6.21875" style="13" customWidth="1"/>
    <col min="9999" max="9999" width="5.21875" style="13" customWidth="1"/>
    <col min="10000" max="10000" width="10.21875" style="13" customWidth="1"/>
    <col min="10001" max="10001" width="7" style="13" customWidth="1"/>
    <col min="10002" max="10002" width="5.77734375" style="13" customWidth="1"/>
    <col min="10003" max="10003" width="3.5546875" style="13" customWidth="1"/>
    <col min="10004" max="10004" width="6.21875" style="13" customWidth="1"/>
    <col min="10005" max="10005" width="8.21875" style="13" customWidth="1"/>
    <col min="10006" max="10006" width="6.21875" style="13" customWidth="1"/>
    <col min="10007" max="10007" width="7" style="13" customWidth="1"/>
    <col min="10008" max="10241" width="9.21875" style="13"/>
    <col min="10242" max="10242" width="7.77734375" style="13" customWidth="1"/>
    <col min="10243" max="10243" width="21.44140625" style="13" customWidth="1"/>
    <col min="10244" max="10244" width="7.21875" style="13" customWidth="1"/>
    <col min="10245" max="10245" width="10.21875" style="13" customWidth="1"/>
    <col min="10246" max="10246" width="8" style="13" customWidth="1"/>
    <col min="10247" max="10247" width="4.5546875" style="13" customWidth="1"/>
    <col min="10248" max="10248" width="6.21875" style="13" customWidth="1"/>
    <col min="10249" max="10249" width="4.77734375" style="13" customWidth="1"/>
    <col min="10250" max="10250" width="6.5546875" style="13" customWidth="1"/>
    <col min="10251" max="10251" width="5.77734375" style="13" customWidth="1"/>
    <col min="10252" max="10252" width="6.21875" style="13" customWidth="1"/>
    <col min="10253" max="10253" width="5.44140625" style="13" customWidth="1"/>
    <col min="10254" max="10254" width="6.21875" style="13" customWidth="1"/>
    <col min="10255" max="10255" width="5.21875" style="13" customWidth="1"/>
    <col min="10256" max="10256" width="10.21875" style="13" customWidth="1"/>
    <col min="10257" max="10257" width="7" style="13" customWidth="1"/>
    <col min="10258" max="10258" width="5.77734375" style="13" customWidth="1"/>
    <col min="10259" max="10259" width="3.5546875" style="13" customWidth="1"/>
    <col min="10260" max="10260" width="6.21875" style="13" customWidth="1"/>
    <col min="10261" max="10261" width="8.21875" style="13" customWidth="1"/>
    <col min="10262" max="10262" width="6.21875" style="13" customWidth="1"/>
    <col min="10263" max="10263" width="7" style="13" customWidth="1"/>
    <col min="10264" max="10497" width="9.21875" style="13"/>
    <col min="10498" max="10498" width="7.77734375" style="13" customWidth="1"/>
    <col min="10499" max="10499" width="21.44140625" style="13" customWidth="1"/>
    <col min="10500" max="10500" width="7.21875" style="13" customWidth="1"/>
    <col min="10501" max="10501" width="10.21875" style="13" customWidth="1"/>
    <col min="10502" max="10502" width="8" style="13" customWidth="1"/>
    <col min="10503" max="10503" width="4.5546875" style="13" customWidth="1"/>
    <col min="10504" max="10504" width="6.21875" style="13" customWidth="1"/>
    <col min="10505" max="10505" width="4.77734375" style="13" customWidth="1"/>
    <col min="10506" max="10506" width="6.5546875" style="13" customWidth="1"/>
    <col min="10507" max="10507" width="5.77734375" style="13" customWidth="1"/>
    <col min="10508" max="10508" width="6.21875" style="13" customWidth="1"/>
    <col min="10509" max="10509" width="5.44140625" style="13" customWidth="1"/>
    <col min="10510" max="10510" width="6.21875" style="13" customWidth="1"/>
    <col min="10511" max="10511" width="5.21875" style="13" customWidth="1"/>
    <col min="10512" max="10512" width="10.21875" style="13" customWidth="1"/>
    <col min="10513" max="10513" width="7" style="13" customWidth="1"/>
    <col min="10514" max="10514" width="5.77734375" style="13" customWidth="1"/>
    <col min="10515" max="10515" width="3.5546875" style="13" customWidth="1"/>
    <col min="10516" max="10516" width="6.21875" style="13" customWidth="1"/>
    <col min="10517" max="10517" width="8.21875" style="13" customWidth="1"/>
    <col min="10518" max="10518" width="6.21875" style="13" customWidth="1"/>
    <col min="10519" max="10519" width="7" style="13" customWidth="1"/>
    <col min="10520" max="10753" width="9.21875" style="13"/>
    <col min="10754" max="10754" width="7.77734375" style="13" customWidth="1"/>
    <col min="10755" max="10755" width="21.44140625" style="13" customWidth="1"/>
    <col min="10756" max="10756" width="7.21875" style="13" customWidth="1"/>
    <col min="10757" max="10757" width="10.21875" style="13" customWidth="1"/>
    <col min="10758" max="10758" width="8" style="13" customWidth="1"/>
    <col min="10759" max="10759" width="4.5546875" style="13" customWidth="1"/>
    <col min="10760" max="10760" width="6.21875" style="13" customWidth="1"/>
    <col min="10761" max="10761" width="4.77734375" style="13" customWidth="1"/>
    <col min="10762" max="10762" width="6.5546875" style="13" customWidth="1"/>
    <col min="10763" max="10763" width="5.77734375" style="13" customWidth="1"/>
    <col min="10764" max="10764" width="6.21875" style="13" customWidth="1"/>
    <col min="10765" max="10765" width="5.44140625" style="13" customWidth="1"/>
    <col min="10766" max="10766" width="6.21875" style="13" customWidth="1"/>
    <col min="10767" max="10767" width="5.21875" style="13" customWidth="1"/>
    <col min="10768" max="10768" width="10.21875" style="13" customWidth="1"/>
    <col min="10769" max="10769" width="7" style="13" customWidth="1"/>
    <col min="10770" max="10770" width="5.77734375" style="13" customWidth="1"/>
    <col min="10771" max="10771" width="3.5546875" style="13" customWidth="1"/>
    <col min="10772" max="10772" width="6.21875" style="13" customWidth="1"/>
    <col min="10773" max="10773" width="8.21875" style="13" customWidth="1"/>
    <col min="10774" max="10774" width="6.21875" style="13" customWidth="1"/>
    <col min="10775" max="10775" width="7" style="13" customWidth="1"/>
    <col min="10776" max="11009" width="9.21875" style="13"/>
    <col min="11010" max="11010" width="7.77734375" style="13" customWidth="1"/>
    <col min="11011" max="11011" width="21.44140625" style="13" customWidth="1"/>
    <col min="11012" max="11012" width="7.21875" style="13" customWidth="1"/>
    <col min="11013" max="11013" width="10.21875" style="13" customWidth="1"/>
    <col min="11014" max="11014" width="8" style="13" customWidth="1"/>
    <col min="11015" max="11015" width="4.5546875" style="13" customWidth="1"/>
    <col min="11016" max="11016" width="6.21875" style="13" customWidth="1"/>
    <col min="11017" max="11017" width="4.77734375" style="13" customWidth="1"/>
    <col min="11018" max="11018" width="6.5546875" style="13" customWidth="1"/>
    <col min="11019" max="11019" width="5.77734375" style="13" customWidth="1"/>
    <col min="11020" max="11020" width="6.21875" style="13" customWidth="1"/>
    <col min="11021" max="11021" width="5.44140625" style="13" customWidth="1"/>
    <col min="11022" max="11022" width="6.21875" style="13" customWidth="1"/>
    <col min="11023" max="11023" width="5.21875" style="13" customWidth="1"/>
    <col min="11024" max="11024" width="10.21875" style="13" customWidth="1"/>
    <col min="11025" max="11025" width="7" style="13" customWidth="1"/>
    <col min="11026" max="11026" width="5.77734375" style="13" customWidth="1"/>
    <col min="11027" max="11027" width="3.5546875" style="13" customWidth="1"/>
    <col min="11028" max="11028" width="6.21875" style="13" customWidth="1"/>
    <col min="11029" max="11029" width="8.21875" style="13" customWidth="1"/>
    <col min="11030" max="11030" width="6.21875" style="13" customWidth="1"/>
    <col min="11031" max="11031" width="7" style="13" customWidth="1"/>
    <col min="11032" max="11265" width="9.21875" style="13"/>
    <col min="11266" max="11266" width="7.77734375" style="13" customWidth="1"/>
    <col min="11267" max="11267" width="21.44140625" style="13" customWidth="1"/>
    <col min="11268" max="11268" width="7.21875" style="13" customWidth="1"/>
    <col min="11269" max="11269" width="10.21875" style="13" customWidth="1"/>
    <col min="11270" max="11270" width="8" style="13" customWidth="1"/>
    <col min="11271" max="11271" width="4.5546875" style="13" customWidth="1"/>
    <col min="11272" max="11272" width="6.21875" style="13" customWidth="1"/>
    <col min="11273" max="11273" width="4.77734375" style="13" customWidth="1"/>
    <col min="11274" max="11274" width="6.5546875" style="13" customWidth="1"/>
    <col min="11275" max="11275" width="5.77734375" style="13" customWidth="1"/>
    <col min="11276" max="11276" width="6.21875" style="13" customWidth="1"/>
    <col min="11277" max="11277" width="5.44140625" style="13" customWidth="1"/>
    <col min="11278" max="11278" width="6.21875" style="13" customWidth="1"/>
    <col min="11279" max="11279" width="5.21875" style="13" customWidth="1"/>
    <col min="11280" max="11280" width="10.21875" style="13" customWidth="1"/>
    <col min="11281" max="11281" width="7" style="13" customWidth="1"/>
    <col min="11282" max="11282" width="5.77734375" style="13" customWidth="1"/>
    <col min="11283" max="11283" width="3.5546875" style="13" customWidth="1"/>
    <col min="11284" max="11284" width="6.21875" style="13" customWidth="1"/>
    <col min="11285" max="11285" width="8.21875" style="13" customWidth="1"/>
    <col min="11286" max="11286" width="6.21875" style="13" customWidth="1"/>
    <col min="11287" max="11287" width="7" style="13" customWidth="1"/>
    <col min="11288" max="11521" width="9.21875" style="13"/>
    <col min="11522" max="11522" width="7.77734375" style="13" customWidth="1"/>
    <col min="11523" max="11523" width="21.44140625" style="13" customWidth="1"/>
    <col min="11524" max="11524" width="7.21875" style="13" customWidth="1"/>
    <col min="11525" max="11525" width="10.21875" style="13" customWidth="1"/>
    <col min="11526" max="11526" width="8" style="13" customWidth="1"/>
    <col min="11527" max="11527" width="4.5546875" style="13" customWidth="1"/>
    <col min="11528" max="11528" width="6.21875" style="13" customWidth="1"/>
    <col min="11529" max="11529" width="4.77734375" style="13" customWidth="1"/>
    <col min="11530" max="11530" width="6.5546875" style="13" customWidth="1"/>
    <col min="11531" max="11531" width="5.77734375" style="13" customWidth="1"/>
    <col min="11532" max="11532" width="6.21875" style="13" customWidth="1"/>
    <col min="11533" max="11533" width="5.44140625" style="13" customWidth="1"/>
    <col min="11534" max="11534" width="6.21875" style="13" customWidth="1"/>
    <col min="11535" max="11535" width="5.21875" style="13" customWidth="1"/>
    <col min="11536" max="11536" width="10.21875" style="13" customWidth="1"/>
    <col min="11537" max="11537" width="7" style="13" customWidth="1"/>
    <col min="11538" max="11538" width="5.77734375" style="13" customWidth="1"/>
    <col min="11539" max="11539" width="3.5546875" style="13" customWidth="1"/>
    <col min="11540" max="11540" width="6.21875" style="13" customWidth="1"/>
    <col min="11541" max="11541" width="8.21875" style="13" customWidth="1"/>
    <col min="11542" max="11542" width="6.21875" style="13" customWidth="1"/>
    <col min="11543" max="11543" width="7" style="13" customWidth="1"/>
    <col min="11544" max="11777" width="9.21875" style="13"/>
    <col min="11778" max="11778" width="7.77734375" style="13" customWidth="1"/>
    <col min="11779" max="11779" width="21.44140625" style="13" customWidth="1"/>
    <col min="11780" max="11780" width="7.21875" style="13" customWidth="1"/>
    <col min="11781" max="11781" width="10.21875" style="13" customWidth="1"/>
    <col min="11782" max="11782" width="8" style="13" customWidth="1"/>
    <col min="11783" max="11783" width="4.5546875" style="13" customWidth="1"/>
    <col min="11784" max="11784" width="6.21875" style="13" customWidth="1"/>
    <col min="11785" max="11785" width="4.77734375" style="13" customWidth="1"/>
    <col min="11786" max="11786" width="6.5546875" style="13" customWidth="1"/>
    <col min="11787" max="11787" width="5.77734375" style="13" customWidth="1"/>
    <col min="11788" max="11788" width="6.21875" style="13" customWidth="1"/>
    <col min="11789" max="11789" width="5.44140625" style="13" customWidth="1"/>
    <col min="11790" max="11790" width="6.21875" style="13" customWidth="1"/>
    <col min="11791" max="11791" width="5.21875" style="13" customWidth="1"/>
    <col min="11792" max="11792" width="10.21875" style="13" customWidth="1"/>
    <col min="11793" max="11793" width="7" style="13" customWidth="1"/>
    <col min="11794" max="11794" width="5.77734375" style="13" customWidth="1"/>
    <col min="11795" max="11795" width="3.5546875" style="13" customWidth="1"/>
    <col min="11796" max="11796" width="6.21875" style="13" customWidth="1"/>
    <col min="11797" max="11797" width="8.21875" style="13" customWidth="1"/>
    <col min="11798" max="11798" width="6.21875" style="13" customWidth="1"/>
    <col min="11799" max="11799" width="7" style="13" customWidth="1"/>
    <col min="11800" max="12033" width="9.21875" style="13"/>
    <col min="12034" max="12034" width="7.77734375" style="13" customWidth="1"/>
    <col min="12035" max="12035" width="21.44140625" style="13" customWidth="1"/>
    <col min="12036" max="12036" width="7.21875" style="13" customWidth="1"/>
    <col min="12037" max="12037" width="10.21875" style="13" customWidth="1"/>
    <col min="12038" max="12038" width="8" style="13" customWidth="1"/>
    <col min="12039" max="12039" width="4.5546875" style="13" customWidth="1"/>
    <col min="12040" max="12040" width="6.21875" style="13" customWidth="1"/>
    <col min="12041" max="12041" width="4.77734375" style="13" customWidth="1"/>
    <col min="12042" max="12042" width="6.5546875" style="13" customWidth="1"/>
    <col min="12043" max="12043" width="5.77734375" style="13" customWidth="1"/>
    <col min="12044" max="12044" width="6.21875" style="13" customWidth="1"/>
    <col min="12045" max="12045" width="5.44140625" style="13" customWidth="1"/>
    <col min="12046" max="12046" width="6.21875" style="13" customWidth="1"/>
    <col min="12047" max="12047" width="5.21875" style="13" customWidth="1"/>
    <col min="12048" max="12048" width="10.21875" style="13" customWidth="1"/>
    <col min="12049" max="12049" width="7" style="13" customWidth="1"/>
    <col min="12050" max="12050" width="5.77734375" style="13" customWidth="1"/>
    <col min="12051" max="12051" width="3.5546875" style="13" customWidth="1"/>
    <col min="12052" max="12052" width="6.21875" style="13" customWidth="1"/>
    <col min="12053" max="12053" width="8.21875" style="13" customWidth="1"/>
    <col min="12054" max="12054" width="6.21875" style="13" customWidth="1"/>
    <col min="12055" max="12055" width="7" style="13" customWidth="1"/>
    <col min="12056" max="12289" width="9.21875" style="13"/>
    <col min="12290" max="12290" width="7.77734375" style="13" customWidth="1"/>
    <col min="12291" max="12291" width="21.44140625" style="13" customWidth="1"/>
    <col min="12292" max="12292" width="7.21875" style="13" customWidth="1"/>
    <col min="12293" max="12293" width="10.21875" style="13" customWidth="1"/>
    <col min="12294" max="12294" width="8" style="13" customWidth="1"/>
    <col min="12295" max="12295" width="4.5546875" style="13" customWidth="1"/>
    <col min="12296" max="12296" width="6.21875" style="13" customWidth="1"/>
    <col min="12297" max="12297" width="4.77734375" style="13" customWidth="1"/>
    <col min="12298" max="12298" width="6.5546875" style="13" customWidth="1"/>
    <col min="12299" max="12299" width="5.77734375" style="13" customWidth="1"/>
    <col min="12300" max="12300" width="6.21875" style="13" customWidth="1"/>
    <col min="12301" max="12301" width="5.44140625" style="13" customWidth="1"/>
    <col min="12302" max="12302" width="6.21875" style="13" customWidth="1"/>
    <col min="12303" max="12303" width="5.21875" style="13" customWidth="1"/>
    <col min="12304" max="12304" width="10.21875" style="13" customWidth="1"/>
    <col min="12305" max="12305" width="7" style="13" customWidth="1"/>
    <col min="12306" max="12306" width="5.77734375" style="13" customWidth="1"/>
    <col min="12307" max="12307" width="3.5546875" style="13" customWidth="1"/>
    <col min="12308" max="12308" width="6.21875" style="13" customWidth="1"/>
    <col min="12309" max="12309" width="8.21875" style="13" customWidth="1"/>
    <col min="12310" max="12310" width="6.21875" style="13" customWidth="1"/>
    <col min="12311" max="12311" width="7" style="13" customWidth="1"/>
    <col min="12312" max="12545" width="9.21875" style="13"/>
    <col min="12546" max="12546" width="7.77734375" style="13" customWidth="1"/>
    <col min="12547" max="12547" width="21.44140625" style="13" customWidth="1"/>
    <col min="12548" max="12548" width="7.21875" style="13" customWidth="1"/>
    <col min="12549" max="12549" width="10.21875" style="13" customWidth="1"/>
    <col min="12550" max="12550" width="8" style="13" customWidth="1"/>
    <col min="12551" max="12551" width="4.5546875" style="13" customWidth="1"/>
    <col min="12552" max="12552" width="6.21875" style="13" customWidth="1"/>
    <col min="12553" max="12553" width="4.77734375" style="13" customWidth="1"/>
    <col min="12554" max="12554" width="6.5546875" style="13" customWidth="1"/>
    <col min="12555" max="12555" width="5.77734375" style="13" customWidth="1"/>
    <col min="12556" max="12556" width="6.21875" style="13" customWidth="1"/>
    <col min="12557" max="12557" width="5.44140625" style="13" customWidth="1"/>
    <col min="12558" max="12558" width="6.21875" style="13" customWidth="1"/>
    <col min="12559" max="12559" width="5.21875" style="13" customWidth="1"/>
    <col min="12560" max="12560" width="10.21875" style="13" customWidth="1"/>
    <col min="12561" max="12561" width="7" style="13" customWidth="1"/>
    <col min="12562" max="12562" width="5.77734375" style="13" customWidth="1"/>
    <col min="12563" max="12563" width="3.5546875" style="13" customWidth="1"/>
    <col min="12564" max="12564" width="6.21875" style="13" customWidth="1"/>
    <col min="12565" max="12565" width="8.21875" style="13" customWidth="1"/>
    <col min="12566" max="12566" width="6.21875" style="13" customWidth="1"/>
    <col min="12567" max="12567" width="7" style="13" customWidth="1"/>
    <col min="12568" max="12801" width="9.21875" style="13"/>
    <col min="12802" max="12802" width="7.77734375" style="13" customWidth="1"/>
    <col min="12803" max="12803" width="21.44140625" style="13" customWidth="1"/>
    <col min="12804" max="12804" width="7.21875" style="13" customWidth="1"/>
    <col min="12805" max="12805" width="10.21875" style="13" customWidth="1"/>
    <col min="12806" max="12806" width="8" style="13" customWidth="1"/>
    <col min="12807" max="12807" width="4.5546875" style="13" customWidth="1"/>
    <col min="12808" max="12808" width="6.21875" style="13" customWidth="1"/>
    <col min="12809" max="12809" width="4.77734375" style="13" customWidth="1"/>
    <col min="12810" max="12810" width="6.5546875" style="13" customWidth="1"/>
    <col min="12811" max="12811" width="5.77734375" style="13" customWidth="1"/>
    <col min="12812" max="12812" width="6.21875" style="13" customWidth="1"/>
    <col min="12813" max="12813" width="5.44140625" style="13" customWidth="1"/>
    <col min="12814" max="12814" width="6.21875" style="13" customWidth="1"/>
    <col min="12815" max="12815" width="5.21875" style="13" customWidth="1"/>
    <col min="12816" max="12816" width="10.21875" style="13" customWidth="1"/>
    <col min="12817" max="12817" width="7" style="13" customWidth="1"/>
    <col min="12818" max="12818" width="5.77734375" style="13" customWidth="1"/>
    <col min="12819" max="12819" width="3.5546875" style="13" customWidth="1"/>
    <col min="12820" max="12820" width="6.21875" style="13" customWidth="1"/>
    <col min="12821" max="12821" width="8.21875" style="13" customWidth="1"/>
    <col min="12822" max="12822" width="6.21875" style="13" customWidth="1"/>
    <col min="12823" max="12823" width="7" style="13" customWidth="1"/>
    <col min="12824" max="13057" width="9.21875" style="13"/>
    <col min="13058" max="13058" width="7.77734375" style="13" customWidth="1"/>
    <col min="13059" max="13059" width="21.44140625" style="13" customWidth="1"/>
    <col min="13060" max="13060" width="7.21875" style="13" customWidth="1"/>
    <col min="13061" max="13061" width="10.21875" style="13" customWidth="1"/>
    <col min="13062" max="13062" width="8" style="13" customWidth="1"/>
    <col min="13063" max="13063" width="4.5546875" style="13" customWidth="1"/>
    <col min="13064" max="13064" width="6.21875" style="13" customWidth="1"/>
    <col min="13065" max="13065" width="4.77734375" style="13" customWidth="1"/>
    <col min="13066" max="13066" width="6.5546875" style="13" customWidth="1"/>
    <col min="13067" max="13067" width="5.77734375" style="13" customWidth="1"/>
    <col min="13068" max="13068" width="6.21875" style="13" customWidth="1"/>
    <col min="13069" max="13069" width="5.44140625" style="13" customWidth="1"/>
    <col min="13070" max="13070" width="6.21875" style="13" customWidth="1"/>
    <col min="13071" max="13071" width="5.21875" style="13" customWidth="1"/>
    <col min="13072" max="13072" width="10.21875" style="13" customWidth="1"/>
    <col min="13073" max="13073" width="7" style="13" customWidth="1"/>
    <col min="13074" max="13074" width="5.77734375" style="13" customWidth="1"/>
    <col min="13075" max="13075" width="3.5546875" style="13" customWidth="1"/>
    <col min="13076" max="13076" width="6.21875" style="13" customWidth="1"/>
    <col min="13077" max="13077" width="8.21875" style="13" customWidth="1"/>
    <col min="13078" max="13078" width="6.21875" style="13" customWidth="1"/>
    <col min="13079" max="13079" width="7" style="13" customWidth="1"/>
    <col min="13080" max="13313" width="9.21875" style="13"/>
    <col min="13314" max="13314" width="7.77734375" style="13" customWidth="1"/>
    <col min="13315" max="13315" width="21.44140625" style="13" customWidth="1"/>
    <col min="13316" max="13316" width="7.21875" style="13" customWidth="1"/>
    <col min="13317" max="13317" width="10.21875" style="13" customWidth="1"/>
    <col min="13318" max="13318" width="8" style="13" customWidth="1"/>
    <col min="13319" max="13319" width="4.5546875" style="13" customWidth="1"/>
    <col min="13320" max="13320" width="6.21875" style="13" customWidth="1"/>
    <col min="13321" max="13321" width="4.77734375" style="13" customWidth="1"/>
    <col min="13322" max="13322" width="6.5546875" style="13" customWidth="1"/>
    <col min="13323" max="13323" width="5.77734375" style="13" customWidth="1"/>
    <col min="13324" max="13324" width="6.21875" style="13" customWidth="1"/>
    <col min="13325" max="13325" width="5.44140625" style="13" customWidth="1"/>
    <col min="13326" max="13326" width="6.21875" style="13" customWidth="1"/>
    <col min="13327" max="13327" width="5.21875" style="13" customWidth="1"/>
    <col min="13328" max="13328" width="10.21875" style="13" customWidth="1"/>
    <col min="13329" max="13329" width="7" style="13" customWidth="1"/>
    <col min="13330" max="13330" width="5.77734375" style="13" customWidth="1"/>
    <col min="13331" max="13331" width="3.5546875" style="13" customWidth="1"/>
    <col min="13332" max="13332" width="6.21875" style="13" customWidth="1"/>
    <col min="13333" max="13333" width="8.21875" style="13" customWidth="1"/>
    <col min="13334" max="13334" width="6.21875" style="13" customWidth="1"/>
    <col min="13335" max="13335" width="7" style="13" customWidth="1"/>
    <col min="13336" max="13569" width="9.21875" style="13"/>
    <col min="13570" max="13570" width="7.77734375" style="13" customWidth="1"/>
    <col min="13571" max="13571" width="21.44140625" style="13" customWidth="1"/>
    <col min="13572" max="13572" width="7.21875" style="13" customWidth="1"/>
    <col min="13573" max="13573" width="10.21875" style="13" customWidth="1"/>
    <col min="13574" max="13574" width="8" style="13" customWidth="1"/>
    <col min="13575" max="13575" width="4.5546875" style="13" customWidth="1"/>
    <col min="13576" max="13576" width="6.21875" style="13" customWidth="1"/>
    <col min="13577" max="13577" width="4.77734375" style="13" customWidth="1"/>
    <col min="13578" max="13578" width="6.5546875" style="13" customWidth="1"/>
    <col min="13579" max="13579" width="5.77734375" style="13" customWidth="1"/>
    <col min="13580" max="13580" width="6.21875" style="13" customWidth="1"/>
    <col min="13581" max="13581" width="5.44140625" style="13" customWidth="1"/>
    <col min="13582" max="13582" width="6.21875" style="13" customWidth="1"/>
    <col min="13583" max="13583" width="5.21875" style="13" customWidth="1"/>
    <col min="13584" max="13584" width="10.21875" style="13" customWidth="1"/>
    <col min="13585" max="13585" width="7" style="13" customWidth="1"/>
    <col min="13586" max="13586" width="5.77734375" style="13" customWidth="1"/>
    <col min="13587" max="13587" width="3.5546875" style="13" customWidth="1"/>
    <col min="13588" max="13588" width="6.21875" style="13" customWidth="1"/>
    <col min="13589" max="13589" width="8.21875" style="13" customWidth="1"/>
    <col min="13590" max="13590" width="6.21875" style="13" customWidth="1"/>
    <col min="13591" max="13591" width="7" style="13" customWidth="1"/>
    <col min="13592" max="13825" width="9.21875" style="13"/>
    <col min="13826" max="13826" width="7.77734375" style="13" customWidth="1"/>
    <col min="13827" max="13827" width="21.44140625" style="13" customWidth="1"/>
    <col min="13828" max="13828" width="7.21875" style="13" customWidth="1"/>
    <col min="13829" max="13829" width="10.21875" style="13" customWidth="1"/>
    <col min="13830" max="13830" width="8" style="13" customWidth="1"/>
    <col min="13831" max="13831" width="4.5546875" style="13" customWidth="1"/>
    <col min="13832" max="13832" width="6.21875" style="13" customWidth="1"/>
    <col min="13833" max="13833" width="4.77734375" style="13" customWidth="1"/>
    <col min="13834" max="13834" width="6.5546875" style="13" customWidth="1"/>
    <col min="13835" max="13835" width="5.77734375" style="13" customWidth="1"/>
    <col min="13836" max="13836" width="6.21875" style="13" customWidth="1"/>
    <col min="13837" max="13837" width="5.44140625" style="13" customWidth="1"/>
    <col min="13838" max="13838" width="6.21875" style="13" customWidth="1"/>
    <col min="13839" max="13839" width="5.21875" style="13" customWidth="1"/>
    <col min="13840" max="13840" width="10.21875" style="13" customWidth="1"/>
    <col min="13841" max="13841" width="7" style="13" customWidth="1"/>
    <col min="13842" max="13842" width="5.77734375" style="13" customWidth="1"/>
    <col min="13843" max="13843" width="3.5546875" style="13" customWidth="1"/>
    <col min="13844" max="13844" width="6.21875" style="13" customWidth="1"/>
    <col min="13845" max="13845" width="8.21875" style="13" customWidth="1"/>
    <col min="13846" max="13846" width="6.21875" style="13" customWidth="1"/>
    <col min="13847" max="13847" width="7" style="13" customWidth="1"/>
    <col min="13848" max="14081" width="9.21875" style="13"/>
    <col min="14082" max="14082" width="7.77734375" style="13" customWidth="1"/>
    <col min="14083" max="14083" width="21.44140625" style="13" customWidth="1"/>
    <col min="14084" max="14084" width="7.21875" style="13" customWidth="1"/>
    <col min="14085" max="14085" width="10.21875" style="13" customWidth="1"/>
    <col min="14086" max="14086" width="8" style="13" customWidth="1"/>
    <col min="14087" max="14087" width="4.5546875" style="13" customWidth="1"/>
    <col min="14088" max="14088" width="6.21875" style="13" customWidth="1"/>
    <col min="14089" max="14089" width="4.77734375" style="13" customWidth="1"/>
    <col min="14090" max="14090" width="6.5546875" style="13" customWidth="1"/>
    <col min="14091" max="14091" width="5.77734375" style="13" customWidth="1"/>
    <col min="14092" max="14092" width="6.21875" style="13" customWidth="1"/>
    <col min="14093" max="14093" width="5.44140625" style="13" customWidth="1"/>
    <col min="14094" max="14094" width="6.21875" style="13" customWidth="1"/>
    <col min="14095" max="14095" width="5.21875" style="13" customWidth="1"/>
    <col min="14096" max="14096" width="10.21875" style="13" customWidth="1"/>
    <col min="14097" max="14097" width="7" style="13" customWidth="1"/>
    <col min="14098" max="14098" width="5.77734375" style="13" customWidth="1"/>
    <col min="14099" max="14099" width="3.5546875" style="13" customWidth="1"/>
    <col min="14100" max="14100" width="6.21875" style="13" customWidth="1"/>
    <col min="14101" max="14101" width="8.21875" style="13" customWidth="1"/>
    <col min="14102" max="14102" width="6.21875" style="13" customWidth="1"/>
    <col min="14103" max="14103" width="7" style="13" customWidth="1"/>
    <col min="14104" max="14337" width="9.21875" style="13"/>
    <col min="14338" max="14338" width="7.77734375" style="13" customWidth="1"/>
    <col min="14339" max="14339" width="21.44140625" style="13" customWidth="1"/>
    <col min="14340" max="14340" width="7.21875" style="13" customWidth="1"/>
    <col min="14341" max="14341" width="10.21875" style="13" customWidth="1"/>
    <col min="14342" max="14342" width="8" style="13" customWidth="1"/>
    <col min="14343" max="14343" width="4.5546875" style="13" customWidth="1"/>
    <col min="14344" max="14344" width="6.21875" style="13" customWidth="1"/>
    <col min="14345" max="14345" width="4.77734375" style="13" customWidth="1"/>
    <col min="14346" max="14346" width="6.5546875" style="13" customWidth="1"/>
    <col min="14347" max="14347" width="5.77734375" style="13" customWidth="1"/>
    <col min="14348" max="14348" width="6.21875" style="13" customWidth="1"/>
    <col min="14349" max="14349" width="5.44140625" style="13" customWidth="1"/>
    <col min="14350" max="14350" width="6.21875" style="13" customWidth="1"/>
    <col min="14351" max="14351" width="5.21875" style="13" customWidth="1"/>
    <col min="14352" max="14352" width="10.21875" style="13" customWidth="1"/>
    <col min="14353" max="14353" width="7" style="13" customWidth="1"/>
    <col min="14354" max="14354" width="5.77734375" style="13" customWidth="1"/>
    <col min="14355" max="14355" width="3.5546875" style="13" customWidth="1"/>
    <col min="14356" max="14356" width="6.21875" style="13" customWidth="1"/>
    <col min="14357" max="14357" width="8.21875" style="13" customWidth="1"/>
    <col min="14358" max="14358" width="6.21875" style="13" customWidth="1"/>
    <col min="14359" max="14359" width="7" style="13" customWidth="1"/>
    <col min="14360" max="14593" width="9.21875" style="13"/>
    <col min="14594" max="14594" width="7.77734375" style="13" customWidth="1"/>
    <col min="14595" max="14595" width="21.44140625" style="13" customWidth="1"/>
    <col min="14596" max="14596" width="7.21875" style="13" customWidth="1"/>
    <col min="14597" max="14597" width="10.21875" style="13" customWidth="1"/>
    <col min="14598" max="14598" width="8" style="13" customWidth="1"/>
    <col min="14599" max="14599" width="4.5546875" style="13" customWidth="1"/>
    <col min="14600" max="14600" width="6.21875" style="13" customWidth="1"/>
    <col min="14601" max="14601" width="4.77734375" style="13" customWidth="1"/>
    <col min="14602" max="14602" width="6.5546875" style="13" customWidth="1"/>
    <col min="14603" max="14603" width="5.77734375" style="13" customWidth="1"/>
    <col min="14604" max="14604" width="6.21875" style="13" customWidth="1"/>
    <col min="14605" max="14605" width="5.44140625" style="13" customWidth="1"/>
    <col min="14606" max="14606" width="6.21875" style="13" customWidth="1"/>
    <col min="14607" max="14607" width="5.21875" style="13" customWidth="1"/>
    <col min="14608" max="14608" width="10.21875" style="13" customWidth="1"/>
    <col min="14609" max="14609" width="7" style="13" customWidth="1"/>
    <col min="14610" max="14610" width="5.77734375" style="13" customWidth="1"/>
    <col min="14611" max="14611" width="3.5546875" style="13" customWidth="1"/>
    <col min="14612" max="14612" width="6.21875" style="13" customWidth="1"/>
    <col min="14613" max="14613" width="8.21875" style="13" customWidth="1"/>
    <col min="14614" max="14614" width="6.21875" style="13" customWidth="1"/>
    <col min="14615" max="14615" width="7" style="13" customWidth="1"/>
    <col min="14616" max="14849" width="9.21875" style="13"/>
    <col min="14850" max="14850" width="7.77734375" style="13" customWidth="1"/>
    <col min="14851" max="14851" width="21.44140625" style="13" customWidth="1"/>
    <col min="14852" max="14852" width="7.21875" style="13" customWidth="1"/>
    <col min="14853" max="14853" width="10.21875" style="13" customWidth="1"/>
    <col min="14854" max="14854" width="8" style="13" customWidth="1"/>
    <col min="14855" max="14855" width="4.5546875" style="13" customWidth="1"/>
    <col min="14856" max="14856" width="6.21875" style="13" customWidth="1"/>
    <col min="14857" max="14857" width="4.77734375" style="13" customWidth="1"/>
    <col min="14858" max="14858" width="6.5546875" style="13" customWidth="1"/>
    <col min="14859" max="14859" width="5.77734375" style="13" customWidth="1"/>
    <col min="14860" max="14860" width="6.21875" style="13" customWidth="1"/>
    <col min="14861" max="14861" width="5.44140625" style="13" customWidth="1"/>
    <col min="14862" max="14862" width="6.21875" style="13" customWidth="1"/>
    <col min="14863" max="14863" width="5.21875" style="13" customWidth="1"/>
    <col min="14864" max="14864" width="10.21875" style="13" customWidth="1"/>
    <col min="14865" max="14865" width="7" style="13" customWidth="1"/>
    <col min="14866" max="14866" width="5.77734375" style="13" customWidth="1"/>
    <col min="14867" max="14867" width="3.5546875" style="13" customWidth="1"/>
    <col min="14868" max="14868" width="6.21875" style="13" customWidth="1"/>
    <col min="14869" max="14869" width="8.21875" style="13" customWidth="1"/>
    <col min="14870" max="14870" width="6.21875" style="13" customWidth="1"/>
    <col min="14871" max="14871" width="7" style="13" customWidth="1"/>
    <col min="14872" max="15105" width="9.21875" style="13"/>
    <col min="15106" max="15106" width="7.77734375" style="13" customWidth="1"/>
    <col min="15107" max="15107" width="21.44140625" style="13" customWidth="1"/>
    <col min="15108" max="15108" width="7.21875" style="13" customWidth="1"/>
    <col min="15109" max="15109" width="10.21875" style="13" customWidth="1"/>
    <col min="15110" max="15110" width="8" style="13" customWidth="1"/>
    <col min="15111" max="15111" width="4.5546875" style="13" customWidth="1"/>
    <col min="15112" max="15112" width="6.21875" style="13" customWidth="1"/>
    <col min="15113" max="15113" width="4.77734375" style="13" customWidth="1"/>
    <col min="15114" max="15114" width="6.5546875" style="13" customWidth="1"/>
    <col min="15115" max="15115" width="5.77734375" style="13" customWidth="1"/>
    <col min="15116" max="15116" width="6.21875" style="13" customWidth="1"/>
    <col min="15117" max="15117" width="5.44140625" style="13" customWidth="1"/>
    <col min="15118" max="15118" width="6.21875" style="13" customWidth="1"/>
    <col min="15119" max="15119" width="5.21875" style="13" customWidth="1"/>
    <col min="15120" max="15120" width="10.21875" style="13" customWidth="1"/>
    <col min="15121" max="15121" width="7" style="13" customWidth="1"/>
    <col min="15122" max="15122" width="5.77734375" style="13" customWidth="1"/>
    <col min="15123" max="15123" width="3.5546875" style="13" customWidth="1"/>
    <col min="15124" max="15124" width="6.21875" style="13" customWidth="1"/>
    <col min="15125" max="15125" width="8.21875" style="13" customWidth="1"/>
    <col min="15126" max="15126" width="6.21875" style="13" customWidth="1"/>
    <col min="15127" max="15127" width="7" style="13" customWidth="1"/>
    <col min="15128" max="15361" width="9.21875" style="13"/>
    <col min="15362" max="15362" width="7.77734375" style="13" customWidth="1"/>
    <col min="15363" max="15363" width="21.44140625" style="13" customWidth="1"/>
    <col min="15364" max="15364" width="7.21875" style="13" customWidth="1"/>
    <col min="15365" max="15365" width="10.21875" style="13" customWidth="1"/>
    <col min="15366" max="15366" width="8" style="13" customWidth="1"/>
    <col min="15367" max="15367" width="4.5546875" style="13" customWidth="1"/>
    <col min="15368" max="15368" width="6.21875" style="13" customWidth="1"/>
    <col min="15369" max="15369" width="4.77734375" style="13" customWidth="1"/>
    <col min="15370" max="15370" width="6.5546875" style="13" customWidth="1"/>
    <col min="15371" max="15371" width="5.77734375" style="13" customWidth="1"/>
    <col min="15372" max="15372" width="6.21875" style="13" customWidth="1"/>
    <col min="15373" max="15373" width="5.44140625" style="13" customWidth="1"/>
    <col min="15374" max="15374" width="6.21875" style="13" customWidth="1"/>
    <col min="15375" max="15375" width="5.21875" style="13" customWidth="1"/>
    <col min="15376" max="15376" width="10.21875" style="13" customWidth="1"/>
    <col min="15377" max="15377" width="7" style="13" customWidth="1"/>
    <col min="15378" max="15378" width="5.77734375" style="13" customWidth="1"/>
    <col min="15379" max="15379" width="3.5546875" style="13" customWidth="1"/>
    <col min="15380" max="15380" width="6.21875" style="13" customWidth="1"/>
    <col min="15381" max="15381" width="8.21875" style="13" customWidth="1"/>
    <col min="15382" max="15382" width="6.21875" style="13" customWidth="1"/>
    <col min="15383" max="15383" width="7" style="13" customWidth="1"/>
    <col min="15384" max="15617" width="9.21875" style="13"/>
    <col min="15618" max="15618" width="7.77734375" style="13" customWidth="1"/>
    <col min="15619" max="15619" width="21.44140625" style="13" customWidth="1"/>
    <col min="15620" max="15620" width="7.21875" style="13" customWidth="1"/>
    <col min="15621" max="15621" width="10.21875" style="13" customWidth="1"/>
    <col min="15622" max="15622" width="8" style="13" customWidth="1"/>
    <col min="15623" max="15623" width="4.5546875" style="13" customWidth="1"/>
    <col min="15624" max="15624" width="6.21875" style="13" customWidth="1"/>
    <col min="15625" max="15625" width="4.77734375" style="13" customWidth="1"/>
    <col min="15626" max="15626" width="6.5546875" style="13" customWidth="1"/>
    <col min="15627" max="15627" width="5.77734375" style="13" customWidth="1"/>
    <col min="15628" max="15628" width="6.21875" style="13" customWidth="1"/>
    <col min="15629" max="15629" width="5.44140625" style="13" customWidth="1"/>
    <col min="15630" max="15630" width="6.21875" style="13" customWidth="1"/>
    <col min="15631" max="15631" width="5.21875" style="13" customWidth="1"/>
    <col min="15632" max="15632" width="10.21875" style="13" customWidth="1"/>
    <col min="15633" max="15633" width="7" style="13" customWidth="1"/>
    <col min="15634" max="15634" width="5.77734375" style="13" customWidth="1"/>
    <col min="15635" max="15635" width="3.5546875" style="13" customWidth="1"/>
    <col min="15636" max="15636" width="6.21875" style="13" customWidth="1"/>
    <col min="15637" max="15637" width="8.21875" style="13" customWidth="1"/>
    <col min="15638" max="15638" width="6.21875" style="13" customWidth="1"/>
    <col min="15639" max="15639" width="7" style="13" customWidth="1"/>
    <col min="15640" max="15873" width="9.21875" style="13"/>
    <col min="15874" max="15874" width="7.77734375" style="13" customWidth="1"/>
    <col min="15875" max="15875" width="21.44140625" style="13" customWidth="1"/>
    <col min="15876" max="15876" width="7.21875" style="13" customWidth="1"/>
    <col min="15877" max="15877" width="10.21875" style="13" customWidth="1"/>
    <col min="15878" max="15878" width="8" style="13" customWidth="1"/>
    <col min="15879" max="15879" width="4.5546875" style="13" customWidth="1"/>
    <col min="15880" max="15880" width="6.21875" style="13" customWidth="1"/>
    <col min="15881" max="15881" width="4.77734375" style="13" customWidth="1"/>
    <col min="15882" max="15882" width="6.5546875" style="13" customWidth="1"/>
    <col min="15883" max="15883" width="5.77734375" style="13" customWidth="1"/>
    <col min="15884" max="15884" width="6.21875" style="13" customWidth="1"/>
    <col min="15885" max="15885" width="5.44140625" style="13" customWidth="1"/>
    <col min="15886" max="15886" width="6.21875" style="13" customWidth="1"/>
    <col min="15887" max="15887" width="5.21875" style="13" customWidth="1"/>
    <col min="15888" max="15888" width="10.21875" style="13" customWidth="1"/>
    <col min="15889" max="15889" width="7" style="13" customWidth="1"/>
    <col min="15890" max="15890" width="5.77734375" style="13" customWidth="1"/>
    <col min="15891" max="15891" width="3.5546875" style="13" customWidth="1"/>
    <col min="15892" max="15892" width="6.21875" style="13" customWidth="1"/>
    <col min="15893" max="15893" width="8.21875" style="13" customWidth="1"/>
    <col min="15894" max="15894" width="6.21875" style="13" customWidth="1"/>
    <col min="15895" max="15895" width="7" style="13" customWidth="1"/>
    <col min="15896" max="16129" width="9.21875" style="13"/>
    <col min="16130" max="16130" width="7.77734375" style="13" customWidth="1"/>
    <col min="16131" max="16131" width="21.44140625" style="13" customWidth="1"/>
    <col min="16132" max="16132" width="7.21875" style="13" customWidth="1"/>
    <col min="16133" max="16133" width="10.21875" style="13" customWidth="1"/>
    <col min="16134" max="16134" width="8" style="13" customWidth="1"/>
    <col min="16135" max="16135" width="4.5546875" style="13" customWidth="1"/>
    <col min="16136" max="16136" width="6.21875" style="13" customWidth="1"/>
    <col min="16137" max="16137" width="4.77734375" style="13" customWidth="1"/>
    <col min="16138" max="16138" width="6.5546875" style="13" customWidth="1"/>
    <col min="16139" max="16139" width="5.77734375" style="13" customWidth="1"/>
    <col min="16140" max="16140" width="6.21875" style="13" customWidth="1"/>
    <col min="16141" max="16141" width="5.44140625" style="13" customWidth="1"/>
    <col min="16142" max="16142" width="6.21875" style="13" customWidth="1"/>
    <col min="16143" max="16143" width="5.21875" style="13" customWidth="1"/>
    <col min="16144" max="16144" width="10.21875" style="13" customWidth="1"/>
    <col min="16145" max="16145" width="7" style="13" customWidth="1"/>
    <col min="16146" max="16146" width="5.77734375" style="13" customWidth="1"/>
    <col min="16147" max="16147" width="3.5546875" style="13" customWidth="1"/>
    <col min="16148" max="16148" width="6.21875" style="13" customWidth="1"/>
    <col min="16149" max="16149" width="8.21875" style="13" customWidth="1"/>
    <col min="16150" max="16150" width="6.21875" style="13" customWidth="1"/>
    <col min="16151" max="16151" width="7" style="13" customWidth="1"/>
    <col min="16152" max="16384" width="9.21875" style="13"/>
  </cols>
  <sheetData>
    <row r="1" spans="1:27" ht="47.25" customHeight="1">
      <c r="A1" s="12" t="s">
        <v>0</v>
      </c>
      <c r="B1" s="12"/>
      <c r="C1" s="12"/>
      <c r="D1" s="12"/>
      <c r="E1" s="12"/>
      <c r="F1" s="12"/>
      <c r="G1" s="12"/>
      <c r="H1" s="12"/>
      <c r="I1" s="12"/>
      <c r="J1" s="12"/>
      <c r="K1" s="12"/>
      <c r="L1" s="12"/>
      <c r="M1" s="12"/>
      <c r="N1" s="11"/>
      <c r="O1" s="11"/>
      <c r="P1" s="11"/>
      <c r="Q1" s="11"/>
      <c r="R1" s="14"/>
      <c r="T1" s="15"/>
      <c r="U1" s="15"/>
      <c r="V1" s="15"/>
      <c r="W1" s="15"/>
    </row>
    <row r="2" spans="1:27" ht="15" customHeight="1">
      <c r="A2" s="141" t="s">
        <v>1</v>
      </c>
      <c r="B2" s="141"/>
      <c r="C2" s="141"/>
      <c r="D2" s="141"/>
      <c r="E2" s="141"/>
      <c r="F2" s="141"/>
      <c r="G2" s="141"/>
      <c r="H2" s="141"/>
      <c r="I2" s="141"/>
      <c r="J2" s="141"/>
      <c r="K2" s="10" t="s">
        <v>2</v>
      </c>
      <c r="L2" s="10"/>
      <c r="M2" s="10"/>
      <c r="N2" s="10"/>
      <c r="O2" s="9">
        <v>1</v>
      </c>
      <c r="P2" s="9"/>
      <c r="Q2" s="9"/>
      <c r="R2" s="16"/>
      <c r="S2" s="17"/>
      <c r="T2" s="18" t="s">
        <v>3</v>
      </c>
      <c r="U2" s="19"/>
      <c r="V2" s="19"/>
      <c r="W2" s="20"/>
    </row>
    <row r="3" spans="1:27" ht="18" customHeight="1">
      <c r="A3" s="141" t="s">
        <v>4</v>
      </c>
      <c r="B3" s="141"/>
      <c r="C3" s="141"/>
      <c r="D3" s="141"/>
      <c r="E3" s="141"/>
      <c r="F3" s="141"/>
      <c r="G3" s="141"/>
      <c r="H3" s="141"/>
      <c r="I3" s="141"/>
      <c r="J3" s="141"/>
      <c r="K3" s="8" t="s">
        <v>5</v>
      </c>
      <c r="L3" s="8"/>
      <c r="M3" s="8"/>
      <c r="N3" s="8"/>
      <c r="O3" s="8"/>
      <c r="P3" s="8"/>
      <c r="Q3" s="8"/>
      <c r="T3" s="15"/>
      <c r="U3" s="15"/>
      <c r="V3" s="15"/>
      <c r="W3" s="15"/>
    </row>
    <row r="4" spans="1:27" ht="18" customHeight="1">
      <c r="A4" s="140" t="s">
        <v>225</v>
      </c>
      <c r="B4" s="140"/>
      <c r="C4" s="140"/>
      <c r="D4" s="140"/>
      <c r="E4" s="140"/>
      <c r="F4" s="140"/>
      <c r="G4" s="140"/>
      <c r="H4" s="140"/>
      <c r="I4" s="140"/>
      <c r="J4" s="140"/>
      <c r="K4" s="21" t="s">
        <v>6</v>
      </c>
      <c r="L4" s="22"/>
      <c r="M4" s="23"/>
      <c r="N4" s="24" t="s">
        <v>7</v>
      </c>
      <c r="O4" s="23"/>
      <c r="P4" s="24" t="s">
        <v>8</v>
      </c>
      <c r="Q4" s="23"/>
      <c r="R4" s="25"/>
      <c r="S4" s="17" t="s">
        <v>9</v>
      </c>
    </row>
    <row r="5" spans="1:27" ht="3.75" customHeight="1">
      <c r="I5" s="26"/>
      <c r="J5" s="26"/>
      <c r="K5" s="27"/>
      <c r="L5" s="27"/>
      <c r="M5" s="27"/>
      <c r="N5" s="27"/>
      <c r="O5" s="27"/>
      <c r="P5" s="26"/>
      <c r="Q5" s="26"/>
      <c r="R5" s="28"/>
    </row>
    <row r="6" spans="1:27" ht="39" customHeight="1">
      <c r="A6" s="29" t="s">
        <v>10</v>
      </c>
      <c r="B6" s="29" t="s">
        <v>11</v>
      </c>
      <c r="C6" s="29" t="s">
        <v>12</v>
      </c>
      <c r="D6" s="135" t="s">
        <v>13</v>
      </c>
      <c r="E6" s="135" t="s">
        <v>14</v>
      </c>
      <c r="F6" s="135" t="s">
        <v>15</v>
      </c>
      <c r="G6" s="135" t="s">
        <v>16</v>
      </c>
      <c r="H6" s="135" t="s">
        <v>17</v>
      </c>
      <c r="I6" s="135" t="s">
        <v>16</v>
      </c>
      <c r="J6" s="135" t="s">
        <v>18</v>
      </c>
      <c r="K6" s="136" t="s">
        <v>19</v>
      </c>
      <c r="L6" s="136" t="s">
        <v>20</v>
      </c>
      <c r="M6" s="136" t="s">
        <v>16</v>
      </c>
      <c r="N6" s="135" t="s">
        <v>21</v>
      </c>
      <c r="O6" s="136" t="s">
        <v>22</v>
      </c>
      <c r="P6" s="135" t="s">
        <v>23</v>
      </c>
      <c r="Q6" s="135" t="s">
        <v>24</v>
      </c>
      <c r="R6" s="30"/>
      <c r="S6" s="15" t="s">
        <v>25</v>
      </c>
      <c r="Y6" s="31"/>
      <c r="AA6" s="31" t="s">
        <v>26</v>
      </c>
    </row>
    <row r="7" spans="1:27" ht="28.8" customHeight="1">
      <c r="A7" s="32">
        <v>1</v>
      </c>
      <c r="B7" s="137" t="s">
        <v>27</v>
      </c>
      <c r="C7" s="32" t="s">
        <v>28</v>
      </c>
      <c r="D7" s="33" t="s">
        <v>29</v>
      </c>
      <c r="E7" s="33" t="s">
        <v>30</v>
      </c>
      <c r="F7" s="34" t="s">
        <v>31</v>
      </c>
      <c r="G7" s="35">
        <f>IF(F7="a",3,IF(F7="m",2,IF(F7="b",1,0)))</f>
        <v>3</v>
      </c>
      <c r="H7" s="34" t="s">
        <v>31</v>
      </c>
      <c r="I7" s="35">
        <f>IF(H7="a",3,IF(H7="m",2,IF(H7="b",1,0)))</f>
        <v>3</v>
      </c>
      <c r="J7" s="35" t="str">
        <f t="shared" ref="J7:J35" si="0">IF(K7=9,"MA",IF(K7&gt;4,"A",IF(K7&gt;2,"M",IF(K7&gt;1,"B",IF(K7=1,"MB","")))))</f>
        <v>MA</v>
      </c>
      <c r="K7" s="35">
        <f t="shared" ref="K7:K35" si="1">+G7*I7</f>
        <v>9</v>
      </c>
      <c r="L7" s="34" t="s">
        <v>31</v>
      </c>
      <c r="M7" s="35">
        <f t="shared" ref="M7:M35" si="2">IF(L7="a",3,IF(L7="m",2,IF(L7="b",1,0)))</f>
        <v>3</v>
      </c>
      <c r="N7" s="35" t="str">
        <f t="shared" ref="N7:N35" si="3">IF(O7&gt;12,"MA",IF(O7&gt;8,"A",IF(O7&gt;4,"M",IF(O7&gt;2,"B",IF(O7&gt;0,"MB","")))))</f>
        <v>MA</v>
      </c>
      <c r="O7" s="35">
        <f t="shared" ref="O7:O35" si="4">+M7*K7</f>
        <v>27</v>
      </c>
      <c r="P7" s="36" t="str">
        <f t="shared" ref="P7:P35" si="5">IF(O7&gt;12,"C,T,E,M",IF(O7&gt;8,"T,E,M",IF(O7&gt;4,"E,M",IF(O7&gt;2,"A",IF(O7&gt;0,"A","")))))</f>
        <v>C,T,E,M</v>
      </c>
      <c r="Q7" s="34">
        <v>1</v>
      </c>
      <c r="R7" s="26"/>
      <c r="S7" s="13" t="s">
        <v>32</v>
      </c>
      <c r="Y7" s="15"/>
      <c r="AA7" s="15" t="s">
        <v>33</v>
      </c>
    </row>
    <row r="8" spans="1:27" ht="28.8" customHeight="1">
      <c r="A8" s="32">
        <v>2</v>
      </c>
      <c r="B8" s="137" t="s">
        <v>34</v>
      </c>
      <c r="C8" s="34" t="s">
        <v>35</v>
      </c>
      <c r="D8" s="33" t="s">
        <v>29</v>
      </c>
      <c r="E8" s="33" t="s">
        <v>30</v>
      </c>
      <c r="F8" s="34" t="s">
        <v>36</v>
      </c>
      <c r="G8" s="35">
        <f t="shared" ref="G7:G35" si="6">IF(F8="a",3,IF(F8="m",2,IF(F8="b",1,0)))</f>
        <v>2</v>
      </c>
      <c r="H8" s="34" t="s">
        <v>36</v>
      </c>
      <c r="I8" s="35">
        <f t="shared" ref="I7:I35" si="7">IF(H8="a",3,IF(H8="m",2,IF(H8="b",1,0)))</f>
        <v>2</v>
      </c>
      <c r="J8" s="35" t="str">
        <f t="shared" si="0"/>
        <v>M</v>
      </c>
      <c r="K8" s="35">
        <f t="shared" si="1"/>
        <v>4</v>
      </c>
      <c r="L8" s="34" t="s">
        <v>36</v>
      </c>
      <c r="M8" s="35">
        <f t="shared" si="2"/>
        <v>2</v>
      </c>
      <c r="N8" s="35" t="str">
        <f t="shared" si="3"/>
        <v>M</v>
      </c>
      <c r="O8" s="35">
        <f t="shared" si="4"/>
        <v>8</v>
      </c>
      <c r="P8" s="36" t="str">
        <f t="shared" si="5"/>
        <v>E,M</v>
      </c>
      <c r="Q8" s="34"/>
      <c r="R8" s="26"/>
      <c r="S8" s="15"/>
      <c r="U8" s="7" t="s">
        <v>37</v>
      </c>
      <c r="V8" s="7"/>
      <c r="W8" s="7"/>
      <c r="Y8" s="37"/>
      <c r="AA8" s="37" t="s">
        <v>38</v>
      </c>
    </row>
    <row r="9" spans="1:27" ht="28.8" customHeight="1">
      <c r="A9" s="32">
        <v>3</v>
      </c>
      <c r="B9" s="138" t="s">
        <v>39</v>
      </c>
      <c r="C9" s="32" t="s">
        <v>28</v>
      </c>
      <c r="D9" s="33" t="s">
        <v>29</v>
      </c>
      <c r="E9" s="33" t="s">
        <v>30</v>
      </c>
      <c r="F9" s="34" t="s">
        <v>40</v>
      </c>
      <c r="G9" s="35">
        <f t="shared" si="6"/>
        <v>1</v>
      </c>
      <c r="H9" s="34" t="s">
        <v>31</v>
      </c>
      <c r="I9" s="35">
        <f t="shared" si="7"/>
        <v>3</v>
      </c>
      <c r="J9" s="35" t="str">
        <f t="shared" si="0"/>
        <v>M</v>
      </c>
      <c r="K9" s="35">
        <f t="shared" si="1"/>
        <v>3</v>
      </c>
      <c r="L9" s="34" t="s">
        <v>31</v>
      </c>
      <c r="M9" s="35">
        <f t="shared" si="2"/>
        <v>3</v>
      </c>
      <c r="N9" s="35" t="str">
        <f t="shared" si="3"/>
        <v>A</v>
      </c>
      <c r="O9" s="35">
        <f t="shared" si="4"/>
        <v>9</v>
      </c>
      <c r="P9" s="36" t="str">
        <f t="shared" si="5"/>
        <v>T,E,M</v>
      </c>
      <c r="Q9" s="34">
        <v>2</v>
      </c>
      <c r="R9" s="39"/>
      <c r="U9" s="40" t="s">
        <v>41</v>
      </c>
      <c r="V9" s="40" t="s">
        <v>42</v>
      </c>
      <c r="W9" s="40" t="s">
        <v>43</v>
      </c>
      <c r="Y9" s="37"/>
      <c r="AA9" s="37" t="s">
        <v>44</v>
      </c>
    </row>
    <row r="10" spans="1:27" ht="28.8" customHeight="1">
      <c r="A10" s="41">
        <v>4</v>
      </c>
      <c r="B10" s="139" t="s">
        <v>45</v>
      </c>
      <c r="C10" s="41" t="s">
        <v>46</v>
      </c>
      <c r="D10" s="42" t="s">
        <v>29</v>
      </c>
      <c r="E10" s="42" t="s">
        <v>47</v>
      </c>
      <c r="F10" s="43" t="s">
        <v>36</v>
      </c>
      <c r="G10" s="44">
        <f t="shared" si="6"/>
        <v>2</v>
      </c>
      <c r="H10" s="41" t="s">
        <v>40</v>
      </c>
      <c r="I10" s="44">
        <f t="shared" si="7"/>
        <v>1</v>
      </c>
      <c r="J10" s="44" t="str">
        <f t="shared" si="0"/>
        <v>B</v>
      </c>
      <c r="K10" s="44">
        <f t="shared" si="1"/>
        <v>2</v>
      </c>
      <c r="L10" s="45" t="s">
        <v>40</v>
      </c>
      <c r="M10" s="44">
        <f t="shared" si="2"/>
        <v>1</v>
      </c>
      <c r="N10" s="44" t="str">
        <f t="shared" si="3"/>
        <v>MB</v>
      </c>
      <c r="O10" s="44">
        <f t="shared" si="4"/>
        <v>2</v>
      </c>
      <c r="P10" s="46" t="str">
        <f t="shared" si="5"/>
        <v>A</v>
      </c>
      <c r="Q10" s="45"/>
      <c r="R10" s="47"/>
      <c r="S10" s="6" t="s">
        <v>48</v>
      </c>
      <c r="T10" s="40" t="s">
        <v>41</v>
      </c>
      <c r="U10" s="48" t="s">
        <v>49</v>
      </c>
      <c r="V10" s="48" t="s">
        <v>50</v>
      </c>
      <c r="W10" s="23" t="s">
        <v>51</v>
      </c>
      <c r="Y10" s="37"/>
      <c r="AA10" s="37" t="s">
        <v>52</v>
      </c>
    </row>
    <row r="11" spans="1:27" ht="28.8" customHeight="1">
      <c r="A11" s="32">
        <v>5</v>
      </c>
      <c r="B11" s="138" t="s">
        <v>53</v>
      </c>
      <c r="C11" s="32" t="s">
        <v>46</v>
      </c>
      <c r="D11" s="33" t="s">
        <v>29</v>
      </c>
      <c r="E11" s="33" t="s">
        <v>30</v>
      </c>
      <c r="F11" s="32" t="s">
        <v>36</v>
      </c>
      <c r="G11" s="35">
        <f t="shared" si="6"/>
        <v>2</v>
      </c>
      <c r="H11" s="32" t="s">
        <v>36</v>
      </c>
      <c r="I11" s="35">
        <f t="shared" si="7"/>
        <v>2</v>
      </c>
      <c r="J11" s="35" t="str">
        <f t="shared" si="0"/>
        <v>M</v>
      </c>
      <c r="K11" s="35">
        <f t="shared" si="1"/>
        <v>4</v>
      </c>
      <c r="L11" s="34" t="s">
        <v>36</v>
      </c>
      <c r="M11" s="35">
        <f t="shared" si="2"/>
        <v>2</v>
      </c>
      <c r="N11" s="35" t="str">
        <f t="shared" si="3"/>
        <v>M</v>
      </c>
      <c r="O11" s="35">
        <f t="shared" si="4"/>
        <v>8</v>
      </c>
      <c r="P11" s="36" t="str">
        <f t="shared" si="5"/>
        <v>E,M</v>
      </c>
      <c r="Q11" s="34"/>
      <c r="R11" s="47"/>
      <c r="S11" s="6"/>
      <c r="T11" s="40" t="s">
        <v>42</v>
      </c>
      <c r="U11" s="23" t="s">
        <v>50</v>
      </c>
      <c r="V11" s="23" t="s">
        <v>54</v>
      </c>
      <c r="W11" s="23" t="s">
        <v>55</v>
      </c>
      <c r="Y11" s="15"/>
      <c r="AA11" s="15" t="s">
        <v>56</v>
      </c>
    </row>
    <row r="12" spans="1:27" ht="28.8" customHeight="1">
      <c r="A12" s="32">
        <v>6</v>
      </c>
      <c r="B12" s="138" t="s">
        <v>57</v>
      </c>
      <c r="C12" s="32" t="s">
        <v>58</v>
      </c>
      <c r="D12" s="33" t="s">
        <v>29</v>
      </c>
      <c r="E12" s="33" t="s">
        <v>30</v>
      </c>
      <c r="F12" s="32" t="s">
        <v>36</v>
      </c>
      <c r="G12" s="35">
        <f t="shared" si="6"/>
        <v>2</v>
      </c>
      <c r="H12" s="32" t="s">
        <v>36</v>
      </c>
      <c r="I12" s="35">
        <f t="shared" si="7"/>
        <v>2</v>
      </c>
      <c r="J12" s="35" t="str">
        <f t="shared" si="0"/>
        <v>M</v>
      </c>
      <c r="K12" s="35">
        <f t="shared" si="1"/>
        <v>4</v>
      </c>
      <c r="L12" s="34" t="s">
        <v>40</v>
      </c>
      <c r="M12" s="35">
        <f t="shared" si="2"/>
        <v>1</v>
      </c>
      <c r="N12" s="35" t="str">
        <f t="shared" si="3"/>
        <v>B</v>
      </c>
      <c r="O12" s="35">
        <f t="shared" si="4"/>
        <v>4</v>
      </c>
      <c r="P12" s="36" t="str">
        <f t="shared" si="5"/>
        <v>A</v>
      </c>
      <c r="Q12" s="34"/>
      <c r="R12" s="49"/>
      <c r="S12" s="6"/>
      <c r="T12" s="40" t="s">
        <v>43</v>
      </c>
      <c r="U12" s="23" t="s">
        <v>51</v>
      </c>
      <c r="V12" s="23" t="s">
        <v>55</v>
      </c>
      <c r="W12" s="23" t="s">
        <v>59</v>
      </c>
      <c r="Y12" s="37"/>
      <c r="AA12" s="37" t="s">
        <v>60</v>
      </c>
    </row>
    <row r="13" spans="1:27" ht="28.8" customHeight="1">
      <c r="A13" s="32">
        <v>7</v>
      </c>
      <c r="B13" s="138" t="s">
        <v>61</v>
      </c>
      <c r="C13" s="32" t="s">
        <v>28</v>
      </c>
      <c r="D13" s="33" t="s">
        <v>29</v>
      </c>
      <c r="E13" s="33" t="s">
        <v>30</v>
      </c>
      <c r="F13" s="32" t="s">
        <v>40</v>
      </c>
      <c r="G13" s="35">
        <f t="shared" si="6"/>
        <v>1</v>
      </c>
      <c r="H13" s="32" t="s">
        <v>31</v>
      </c>
      <c r="I13" s="35">
        <f t="shared" si="7"/>
        <v>3</v>
      </c>
      <c r="J13" s="35" t="str">
        <f t="shared" si="0"/>
        <v>M</v>
      </c>
      <c r="K13" s="35">
        <f t="shared" si="1"/>
        <v>3</v>
      </c>
      <c r="L13" s="34" t="s">
        <v>36</v>
      </c>
      <c r="M13" s="35">
        <f t="shared" si="2"/>
        <v>2</v>
      </c>
      <c r="N13" s="35" t="str">
        <f t="shared" si="3"/>
        <v>M</v>
      </c>
      <c r="O13" s="35">
        <f t="shared" si="4"/>
        <v>6</v>
      </c>
      <c r="P13" s="36" t="str">
        <f t="shared" si="5"/>
        <v>E,M</v>
      </c>
      <c r="Q13" s="34"/>
      <c r="R13" s="49"/>
      <c r="S13" s="50"/>
      <c r="Y13" s="37"/>
      <c r="AA13" s="37" t="s">
        <v>62</v>
      </c>
    </row>
    <row r="14" spans="1:27" ht="28.8" customHeight="1">
      <c r="A14" s="32">
        <v>8</v>
      </c>
      <c r="B14" s="138" t="s">
        <v>63</v>
      </c>
      <c r="C14" s="32" t="s">
        <v>46</v>
      </c>
      <c r="D14" s="33" t="s">
        <v>29</v>
      </c>
      <c r="E14" s="33" t="s">
        <v>30</v>
      </c>
      <c r="F14" s="32" t="s">
        <v>40</v>
      </c>
      <c r="G14" s="35">
        <f t="shared" si="6"/>
        <v>1</v>
      </c>
      <c r="H14" s="32" t="s">
        <v>31</v>
      </c>
      <c r="I14" s="35">
        <f t="shared" si="7"/>
        <v>3</v>
      </c>
      <c r="J14" s="35" t="str">
        <f t="shared" si="0"/>
        <v>M</v>
      </c>
      <c r="K14" s="35">
        <f t="shared" si="1"/>
        <v>3</v>
      </c>
      <c r="L14" s="34" t="s">
        <v>31</v>
      </c>
      <c r="M14" s="35">
        <f t="shared" si="2"/>
        <v>3</v>
      </c>
      <c r="N14" s="35" t="str">
        <f t="shared" si="3"/>
        <v>A</v>
      </c>
      <c r="O14" s="35">
        <f t="shared" si="4"/>
        <v>9</v>
      </c>
      <c r="P14" s="36" t="str">
        <f t="shared" si="5"/>
        <v>T,E,M</v>
      </c>
      <c r="Q14" s="34">
        <v>3</v>
      </c>
      <c r="R14" s="49"/>
      <c r="S14" s="51" t="s">
        <v>64</v>
      </c>
      <c r="Y14" s="37"/>
      <c r="AA14" s="37" t="s">
        <v>65</v>
      </c>
    </row>
    <row r="15" spans="1:27" ht="28.8" customHeight="1">
      <c r="A15" s="32">
        <v>9</v>
      </c>
      <c r="B15" s="138" t="s">
        <v>66</v>
      </c>
      <c r="C15" s="32" t="s">
        <v>28</v>
      </c>
      <c r="D15" s="33" t="s">
        <v>29</v>
      </c>
      <c r="E15" s="33" t="s">
        <v>30</v>
      </c>
      <c r="F15" s="32" t="s">
        <v>40</v>
      </c>
      <c r="G15" s="35">
        <f t="shared" si="6"/>
        <v>1</v>
      </c>
      <c r="H15" s="32" t="s">
        <v>31</v>
      </c>
      <c r="I15" s="35">
        <f t="shared" si="7"/>
        <v>3</v>
      </c>
      <c r="J15" s="35" t="str">
        <f t="shared" si="0"/>
        <v>M</v>
      </c>
      <c r="K15" s="35">
        <f t="shared" si="1"/>
        <v>3</v>
      </c>
      <c r="L15" s="34" t="s">
        <v>31</v>
      </c>
      <c r="M15" s="35">
        <f t="shared" si="2"/>
        <v>3</v>
      </c>
      <c r="N15" s="35" t="str">
        <f t="shared" si="3"/>
        <v>A</v>
      </c>
      <c r="O15" s="35">
        <f t="shared" si="4"/>
        <v>9</v>
      </c>
      <c r="P15" s="36" t="str">
        <f t="shared" si="5"/>
        <v>T,E,M</v>
      </c>
      <c r="Q15" s="34">
        <v>4</v>
      </c>
      <c r="R15" s="49"/>
      <c r="S15" s="52" t="s">
        <v>67</v>
      </c>
      <c r="Y15" s="15"/>
      <c r="AA15" s="15" t="s">
        <v>68</v>
      </c>
    </row>
    <row r="16" spans="1:27" ht="28.8" customHeight="1">
      <c r="A16" s="32">
        <v>10</v>
      </c>
      <c r="B16" s="138" t="s">
        <v>69</v>
      </c>
      <c r="C16" s="32" t="s">
        <v>46</v>
      </c>
      <c r="D16" s="33" t="s">
        <v>29</v>
      </c>
      <c r="E16" s="33" t="s">
        <v>30</v>
      </c>
      <c r="F16" s="32" t="s">
        <v>40</v>
      </c>
      <c r="G16" s="35">
        <f t="shared" si="6"/>
        <v>1</v>
      </c>
      <c r="H16" s="32" t="s">
        <v>31</v>
      </c>
      <c r="I16" s="35">
        <f t="shared" si="7"/>
        <v>3</v>
      </c>
      <c r="J16" s="35" t="str">
        <f t="shared" si="0"/>
        <v>M</v>
      </c>
      <c r="K16" s="35">
        <f t="shared" si="1"/>
        <v>3</v>
      </c>
      <c r="L16" s="34" t="s">
        <v>31</v>
      </c>
      <c r="M16" s="35">
        <f t="shared" si="2"/>
        <v>3</v>
      </c>
      <c r="N16" s="35" t="str">
        <f t="shared" si="3"/>
        <v>A</v>
      </c>
      <c r="O16" s="35">
        <f t="shared" si="4"/>
        <v>9</v>
      </c>
      <c r="P16" s="36" t="str">
        <f t="shared" si="5"/>
        <v>T,E,M</v>
      </c>
      <c r="Q16" s="34">
        <v>5</v>
      </c>
      <c r="R16" s="49"/>
      <c r="S16" s="26"/>
      <c r="U16" s="5" t="s">
        <v>70</v>
      </c>
      <c r="V16" s="5"/>
      <c r="W16" s="5"/>
      <c r="Y16" s="37"/>
      <c r="AA16" s="37" t="s">
        <v>71</v>
      </c>
    </row>
    <row r="17" spans="1:27" ht="28.8" customHeight="1">
      <c r="A17" s="32">
        <v>11</v>
      </c>
      <c r="B17" s="138" t="s">
        <v>72</v>
      </c>
      <c r="C17" s="32" t="s">
        <v>35</v>
      </c>
      <c r="D17" s="33" t="s">
        <v>29</v>
      </c>
      <c r="E17" s="33" t="s">
        <v>30</v>
      </c>
      <c r="F17" s="32" t="s">
        <v>36</v>
      </c>
      <c r="G17" s="35">
        <f t="shared" si="6"/>
        <v>2</v>
      </c>
      <c r="H17" s="32" t="s">
        <v>31</v>
      </c>
      <c r="I17" s="35">
        <f t="shared" si="7"/>
        <v>3</v>
      </c>
      <c r="J17" s="35" t="str">
        <f t="shared" si="0"/>
        <v>A</v>
      </c>
      <c r="K17" s="35">
        <f t="shared" si="1"/>
        <v>6</v>
      </c>
      <c r="L17" s="34" t="s">
        <v>36</v>
      </c>
      <c r="M17" s="35">
        <f t="shared" si="2"/>
        <v>2</v>
      </c>
      <c r="N17" s="35" t="str">
        <f t="shared" si="3"/>
        <v>A</v>
      </c>
      <c r="O17" s="35">
        <f t="shared" si="4"/>
        <v>12</v>
      </c>
      <c r="P17" s="36" t="str">
        <f t="shared" si="5"/>
        <v>T,E,M</v>
      </c>
      <c r="Q17" s="34">
        <v>5</v>
      </c>
      <c r="R17" s="49"/>
      <c r="S17" s="53"/>
      <c r="U17" s="40" t="s">
        <v>41</v>
      </c>
      <c r="V17" s="40" t="s">
        <v>42</v>
      </c>
      <c r="W17" s="40" t="s">
        <v>43</v>
      </c>
      <c r="Y17" s="37"/>
      <c r="AA17" s="37" t="s">
        <v>73</v>
      </c>
    </row>
    <row r="18" spans="1:27" ht="28.8" customHeight="1">
      <c r="A18" s="32">
        <v>12</v>
      </c>
      <c r="B18" s="138" t="s">
        <v>74</v>
      </c>
      <c r="C18" s="32" t="s">
        <v>58</v>
      </c>
      <c r="D18" s="33" t="s">
        <v>29</v>
      </c>
      <c r="E18" s="33" t="s">
        <v>30</v>
      </c>
      <c r="F18" s="32" t="s">
        <v>40</v>
      </c>
      <c r="G18" s="35">
        <f t="shared" si="6"/>
        <v>1</v>
      </c>
      <c r="H18" s="32" t="s">
        <v>31</v>
      </c>
      <c r="I18" s="35">
        <f t="shared" si="7"/>
        <v>3</v>
      </c>
      <c r="J18" s="35" t="str">
        <f t="shared" si="0"/>
        <v>M</v>
      </c>
      <c r="K18" s="35">
        <f t="shared" si="1"/>
        <v>3</v>
      </c>
      <c r="L18" s="34" t="s">
        <v>31</v>
      </c>
      <c r="M18" s="35">
        <f t="shared" si="2"/>
        <v>3</v>
      </c>
      <c r="N18" s="35" t="str">
        <f t="shared" si="3"/>
        <v>A</v>
      </c>
      <c r="O18" s="35">
        <f t="shared" si="4"/>
        <v>9</v>
      </c>
      <c r="P18" s="36" t="str">
        <f t="shared" si="5"/>
        <v>T,E,M</v>
      </c>
      <c r="Q18" s="34">
        <v>5</v>
      </c>
      <c r="R18" s="49"/>
      <c r="S18" s="4" t="s">
        <v>75</v>
      </c>
      <c r="T18" s="40" t="s">
        <v>49</v>
      </c>
      <c r="U18" s="23" t="s">
        <v>76</v>
      </c>
      <c r="V18" s="23" t="s">
        <v>77</v>
      </c>
      <c r="W18" s="23" t="s">
        <v>78</v>
      </c>
      <c r="Y18" s="37"/>
      <c r="AA18" s="37" t="s">
        <v>79</v>
      </c>
    </row>
    <row r="19" spans="1:27" ht="28.8" customHeight="1">
      <c r="A19" s="32">
        <v>13</v>
      </c>
      <c r="B19" s="138" t="s">
        <v>80</v>
      </c>
      <c r="C19" s="32" t="s">
        <v>58</v>
      </c>
      <c r="D19" s="33" t="s">
        <v>29</v>
      </c>
      <c r="E19" s="33" t="s">
        <v>30</v>
      </c>
      <c r="F19" s="32" t="s">
        <v>36</v>
      </c>
      <c r="G19" s="35">
        <f t="shared" si="6"/>
        <v>2</v>
      </c>
      <c r="H19" s="32" t="s">
        <v>36</v>
      </c>
      <c r="I19" s="35">
        <f t="shared" si="7"/>
        <v>2</v>
      </c>
      <c r="J19" s="35" t="str">
        <f t="shared" si="0"/>
        <v>M</v>
      </c>
      <c r="K19" s="35">
        <f t="shared" si="1"/>
        <v>4</v>
      </c>
      <c r="L19" s="34" t="s">
        <v>36</v>
      </c>
      <c r="M19" s="35">
        <f t="shared" si="2"/>
        <v>2</v>
      </c>
      <c r="N19" s="35" t="str">
        <f t="shared" si="3"/>
        <v>M</v>
      </c>
      <c r="O19" s="35">
        <f t="shared" si="4"/>
        <v>8</v>
      </c>
      <c r="P19" s="36" t="str">
        <f t="shared" si="5"/>
        <v>E,M</v>
      </c>
      <c r="Q19" s="34">
        <v>6</v>
      </c>
      <c r="R19" s="49"/>
      <c r="S19" s="4"/>
      <c r="T19" s="40" t="s">
        <v>50</v>
      </c>
      <c r="U19" s="48" t="s">
        <v>77</v>
      </c>
      <c r="V19" s="48" t="s">
        <v>81</v>
      </c>
      <c r="W19" s="23" t="s">
        <v>82</v>
      </c>
      <c r="Y19" s="15"/>
      <c r="AA19" s="15" t="s">
        <v>83</v>
      </c>
    </row>
    <row r="20" spans="1:27" ht="28.8" customHeight="1">
      <c r="A20" s="32">
        <v>14</v>
      </c>
      <c r="B20" s="138" t="s">
        <v>84</v>
      </c>
      <c r="C20" s="32" t="s">
        <v>85</v>
      </c>
      <c r="D20" s="33" t="s">
        <v>29</v>
      </c>
      <c r="E20" s="33" t="s">
        <v>30</v>
      </c>
      <c r="F20" s="32" t="s">
        <v>40</v>
      </c>
      <c r="G20" s="35">
        <f t="shared" si="6"/>
        <v>1</v>
      </c>
      <c r="H20" s="32" t="s">
        <v>36</v>
      </c>
      <c r="I20" s="35">
        <f t="shared" si="7"/>
        <v>2</v>
      </c>
      <c r="J20" s="35" t="str">
        <f t="shared" si="0"/>
        <v>B</v>
      </c>
      <c r="K20" s="35">
        <f t="shared" si="1"/>
        <v>2</v>
      </c>
      <c r="L20" s="34" t="s">
        <v>36</v>
      </c>
      <c r="M20" s="35">
        <f t="shared" si="2"/>
        <v>2</v>
      </c>
      <c r="N20" s="35" t="str">
        <f t="shared" si="3"/>
        <v>B</v>
      </c>
      <c r="O20" s="35">
        <f t="shared" si="4"/>
        <v>4</v>
      </c>
      <c r="P20" s="36" t="str">
        <f t="shared" si="5"/>
        <v>A</v>
      </c>
      <c r="Q20" s="34"/>
      <c r="R20" s="49"/>
      <c r="S20" s="4"/>
      <c r="T20" s="40" t="s">
        <v>54</v>
      </c>
      <c r="U20" s="23" t="s">
        <v>81</v>
      </c>
      <c r="V20" s="23" t="s">
        <v>86</v>
      </c>
      <c r="W20" s="23" t="s">
        <v>87</v>
      </c>
      <c r="Y20" s="37"/>
      <c r="AA20" s="15" t="s">
        <v>88</v>
      </c>
    </row>
    <row r="21" spans="1:27" ht="28.8" customHeight="1">
      <c r="A21" s="32">
        <v>15</v>
      </c>
      <c r="B21" s="138" t="s">
        <v>89</v>
      </c>
      <c r="C21" s="32" t="s">
        <v>35</v>
      </c>
      <c r="D21" s="33" t="s">
        <v>29</v>
      </c>
      <c r="E21" s="33" t="s">
        <v>30</v>
      </c>
      <c r="F21" s="32" t="s">
        <v>36</v>
      </c>
      <c r="G21" s="35">
        <f t="shared" si="6"/>
        <v>2</v>
      </c>
      <c r="H21" s="32" t="s">
        <v>40</v>
      </c>
      <c r="I21" s="35">
        <f t="shared" si="7"/>
        <v>1</v>
      </c>
      <c r="J21" s="35" t="str">
        <f t="shared" si="0"/>
        <v>B</v>
      </c>
      <c r="K21" s="35">
        <f t="shared" si="1"/>
        <v>2</v>
      </c>
      <c r="L21" s="34" t="s">
        <v>40</v>
      </c>
      <c r="M21" s="35">
        <f t="shared" si="2"/>
        <v>1</v>
      </c>
      <c r="N21" s="35" t="str">
        <f t="shared" si="3"/>
        <v>MB</v>
      </c>
      <c r="O21" s="35">
        <f t="shared" si="4"/>
        <v>2</v>
      </c>
      <c r="P21" s="36" t="str">
        <f t="shared" si="5"/>
        <v>A</v>
      </c>
      <c r="Q21" s="34"/>
      <c r="R21" s="49"/>
      <c r="S21" s="4"/>
      <c r="T21" s="40" t="s">
        <v>51</v>
      </c>
      <c r="U21" s="23" t="s">
        <v>78</v>
      </c>
      <c r="V21" s="23" t="s">
        <v>82</v>
      </c>
      <c r="W21" s="23" t="s">
        <v>90</v>
      </c>
      <c r="Y21" s="37"/>
      <c r="AA21" s="37" t="s">
        <v>60</v>
      </c>
    </row>
    <row r="22" spans="1:27" ht="15.75" customHeight="1">
      <c r="A22" s="32"/>
      <c r="B22" s="38"/>
      <c r="C22" s="32"/>
      <c r="D22" s="33"/>
      <c r="E22" s="33"/>
      <c r="F22" s="32"/>
      <c r="G22" s="35">
        <f t="shared" si="6"/>
        <v>0</v>
      </c>
      <c r="H22" s="32"/>
      <c r="I22" s="35">
        <f t="shared" si="7"/>
        <v>0</v>
      </c>
      <c r="J22" s="35" t="str">
        <f t="shared" si="0"/>
        <v/>
      </c>
      <c r="K22" s="35">
        <f t="shared" si="1"/>
        <v>0</v>
      </c>
      <c r="L22" s="34"/>
      <c r="M22" s="35">
        <f t="shared" si="2"/>
        <v>0</v>
      </c>
      <c r="N22" s="35" t="str">
        <f t="shared" si="3"/>
        <v/>
      </c>
      <c r="O22" s="35">
        <f t="shared" si="4"/>
        <v>0</v>
      </c>
      <c r="P22" s="36" t="str">
        <f t="shared" si="5"/>
        <v/>
      </c>
      <c r="Q22" s="34"/>
      <c r="R22" s="49"/>
      <c r="S22" s="4"/>
      <c r="T22" s="40" t="s">
        <v>55</v>
      </c>
      <c r="U22" s="23" t="s">
        <v>82</v>
      </c>
      <c r="V22" s="23" t="s">
        <v>87</v>
      </c>
      <c r="W22" s="23" t="s">
        <v>91</v>
      </c>
      <c r="Y22" s="37"/>
      <c r="AA22" s="37" t="s">
        <v>62</v>
      </c>
    </row>
    <row r="23" spans="1:27" ht="15.75" customHeight="1">
      <c r="A23" s="32"/>
      <c r="B23" s="38"/>
      <c r="C23" s="32"/>
      <c r="D23" s="33"/>
      <c r="E23" s="33"/>
      <c r="F23" s="32"/>
      <c r="G23" s="35">
        <f t="shared" si="6"/>
        <v>0</v>
      </c>
      <c r="H23" s="32"/>
      <c r="I23" s="35">
        <f t="shared" si="7"/>
        <v>0</v>
      </c>
      <c r="J23" s="35" t="str">
        <f t="shared" si="0"/>
        <v/>
      </c>
      <c r="K23" s="35">
        <f t="shared" si="1"/>
        <v>0</v>
      </c>
      <c r="L23" s="34"/>
      <c r="M23" s="35">
        <f t="shared" si="2"/>
        <v>0</v>
      </c>
      <c r="N23" s="35" t="str">
        <f t="shared" si="3"/>
        <v/>
      </c>
      <c r="O23" s="35">
        <f t="shared" si="4"/>
        <v>0</v>
      </c>
      <c r="P23" s="36" t="str">
        <f t="shared" si="5"/>
        <v/>
      </c>
      <c r="Q23" s="34"/>
      <c r="R23" s="49"/>
      <c r="S23" s="4"/>
      <c r="T23" s="54" t="s">
        <v>59</v>
      </c>
      <c r="U23" s="55" t="s">
        <v>90</v>
      </c>
      <c r="V23" s="55" t="s">
        <v>91</v>
      </c>
      <c r="W23" s="55" t="s">
        <v>59</v>
      </c>
      <c r="AA23" s="37" t="s">
        <v>65</v>
      </c>
    </row>
    <row r="24" spans="1:27" ht="15.75" customHeight="1">
      <c r="A24" s="32"/>
      <c r="B24" s="38"/>
      <c r="C24" s="32"/>
      <c r="D24" s="33"/>
      <c r="E24" s="33"/>
      <c r="F24" s="32"/>
      <c r="G24" s="35">
        <f t="shared" si="6"/>
        <v>0</v>
      </c>
      <c r="H24" s="32"/>
      <c r="I24" s="35">
        <f t="shared" si="7"/>
        <v>0</v>
      </c>
      <c r="J24" s="35" t="str">
        <f t="shared" si="0"/>
        <v/>
      </c>
      <c r="K24" s="35">
        <f t="shared" si="1"/>
        <v>0</v>
      </c>
      <c r="L24" s="34"/>
      <c r="M24" s="35">
        <f t="shared" si="2"/>
        <v>0</v>
      </c>
      <c r="N24" s="35" t="str">
        <f t="shared" si="3"/>
        <v/>
      </c>
      <c r="O24" s="35">
        <f t="shared" si="4"/>
        <v>0</v>
      </c>
      <c r="P24" s="36" t="str">
        <f t="shared" si="5"/>
        <v/>
      </c>
      <c r="Q24" s="34"/>
      <c r="R24" s="49"/>
      <c r="S24" s="56"/>
      <c r="T24" s="57"/>
      <c r="U24" s="57"/>
      <c r="V24" s="57"/>
      <c r="W24" s="57"/>
      <c r="AA24" s="15" t="s">
        <v>92</v>
      </c>
    </row>
    <row r="25" spans="1:27" ht="15.75" customHeight="1">
      <c r="A25" s="32"/>
      <c r="B25" s="38"/>
      <c r="C25" s="32"/>
      <c r="D25" s="33"/>
      <c r="E25" s="33"/>
      <c r="F25" s="32"/>
      <c r="G25" s="35">
        <f t="shared" si="6"/>
        <v>0</v>
      </c>
      <c r="H25" s="32"/>
      <c r="I25" s="35">
        <f t="shared" si="7"/>
        <v>0</v>
      </c>
      <c r="J25" s="35" t="str">
        <f t="shared" si="0"/>
        <v/>
      </c>
      <c r="K25" s="35">
        <f t="shared" si="1"/>
        <v>0</v>
      </c>
      <c r="L25" s="58"/>
      <c r="M25" s="35">
        <f t="shared" si="2"/>
        <v>0</v>
      </c>
      <c r="N25" s="35" t="str">
        <f t="shared" si="3"/>
        <v/>
      </c>
      <c r="O25" s="35">
        <f t="shared" si="4"/>
        <v>0</v>
      </c>
      <c r="P25" s="36" t="str">
        <f t="shared" si="5"/>
        <v/>
      </c>
      <c r="Q25" s="34"/>
      <c r="R25" s="49"/>
      <c r="S25" s="56"/>
      <c r="U25" s="3" t="s">
        <v>93</v>
      </c>
      <c r="V25" s="3"/>
      <c r="W25" s="3"/>
      <c r="X25" s="3"/>
      <c r="Y25" s="3"/>
      <c r="AA25" s="51" t="s">
        <v>94</v>
      </c>
    </row>
    <row r="26" spans="1:27" ht="15.75" customHeight="1">
      <c r="A26" s="32"/>
      <c r="B26" s="38"/>
      <c r="C26" s="32"/>
      <c r="D26" s="33"/>
      <c r="E26" s="33"/>
      <c r="F26" s="32"/>
      <c r="G26" s="35">
        <f t="shared" si="6"/>
        <v>0</v>
      </c>
      <c r="H26" s="32"/>
      <c r="I26" s="35">
        <f t="shared" si="7"/>
        <v>0</v>
      </c>
      <c r="J26" s="35" t="str">
        <f t="shared" si="0"/>
        <v/>
      </c>
      <c r="K26" s="35">
        <f t="shared" si="1"/>
        <v>0</v>
      </c>
      <c r="L26" s="58"/>
      <c r="M26" s="35">
        <f t="shared" si="2"/>
        <v>0</v>
      </c>
      <c r="N26" s="35" t="str">
        <f t="shared" si="3"/>
        <v/>
      </c>
      <c r="O26" s="35">
        <f t="shared" si="4"/>
        <v>0</v>
      </c>
      <c r="P26" s="36" t="str">
        <f t="shared" si="5"/>
        <v/>
      </c>
      <c r="Q26" s="34"/>
      <c r="R26" s="49"/>
      <c r="U26" s="59" t="s">
        <v>47</v>
      </c>
      <c r="V26" s="59" t="s">
        <v>95</v>
      </c>
      <c r="W26" s="59" t="s">
        <v>96</v>
      </c>
      <c r="X26" s="59" t="s">
        <v>97</v>
      </c>
      <c r="Y26" s="59" t="s">
        <v>30</v>
      </c>
      <c r="AA26" s="51" t="s">
        <v>98</v>
      </c>
    </row>
    <row r="27" spans="1:27" ht="15.75" customHeight="1">
      <c r="A27" s="32"/>
      <c r="B27" s="38"/>
      <c r="C27" s="32"/>
      <c r="D27" s="33"/>
      <c r="E27" s="33"/>
      <c r="F27" s="32"/>
      <c r="G27" s="35">
        <f t="shared" si="6"/>
        <v>0</v>
      </c>
      <c r="H27" s="32"/>
      <c r="I27" s="35">
        <f t="shared" si="7"/>
        <v>0</v>
      </c>
      <c r="J27" s="35" t="str">
        <f t="shared" si="0"/>
        <v/>
      </c>
      <c r="K27" s="35">
        <f t="shared" si="1"/>
        <v>0</v>
      </c>
      <c r="L27" s="58"/>
      <c r="M27" s="35">
        <f t="shared" si="2"/>
        <v>0</v>
      </c>
      <c r="N27" s="35" t="str">
        <f t="shared" si="3"/>
        <v/>
      </c>
      <c r="O27" s="35">
        <f t="shared" si="4"/>
        <v>0</v>
      </c>
      <c r="P27" s="36" t="str">
        <f t="shared" si="5"/>
        <v/>
      </c>
      <c r="Q27" s="34"/>
      <c r="R27" s="49"/>
      <c r="S27" s="2" t="s">
        <v>99</v>
      </c>
      <c r="T27" s="60" t="s">
        <v>100</v>
      </c>
      <c r="U27" s="61" t="s">
        <v>101</v>
      </c>
      <c r="V27" s="61" t="s">
        <v>101</v>
      </c>
      <c r="W27" s="61" t="s">
        <v>101</v>
      </c>
      <c r="X27" s="61" t="s">
        <v>101</v>
      </c>
      <c r="Y27" s="23"/>
      <c r="AA27" s="15" t="s">
        <v>102</v>
      </c>
    </row>
    <row r="28" spans="1:27" ht="15.75" customHeight="1">
      <c r="A28" s="32"/>
      <c r="B28" s="38"/>
      <c r="C28" s="32"/>
      <c r="D28" s="33"/>
      <c r="E28" s="33"/>
      <c r="F28" s="32"/>
      <c r="G28" s="35">
        <f t="shared" si="6"/>
        <v>0</v>
      </c>
      <c r="H28" s="32"/>
      <c r="I28" s="35">
        <f t="shared" si="7"/>
        <v>0</v>
      </c>
      <c r="J28" s="35" t="str">
        <f t="shared" si="0"/>
        <v/>
      </c>
      <c r="K28" s="35">
        <f t="shared" si="1"/>
        <v>0</v>
      </c>
      <c r="L28" s="58"/>
      <c r="M28" s="35">
        <f t="shared" si="2"/>
        <v>0</v>
      </c>
      <c r="N28" s="35" t="str">
        <f t="shared" si="3"/>
        <v/>
      </c>
      <c r="O28" s="35">
        <f t="shared" si="4"/>
        <v>0</v>
      </c>
      <c r="P28" s="36" t="str">
        <f t="shared" si="5"/>
        <v/>
      </c>
      <c r="Q28" s="34"/>
      <c r="R28" s="49"/>
      <c r="S28" s="2"/>
      <c r="T28" s="60" t="s">
        <v>30</v>
      </c>
      <c r="U28" s="62"/>
      <c r="V28" s="61" t="s">
        <v>101</v>
      </c>
      <c r="W28" s="61" t="s">
        <v>101</v>
      </c>
      <c r="X28" s="61" t="s">
        <v>101</v>
      </c>
      <c r="Y28" s="23"/>
    </row>
    <row r="29" spans="1:27" ht="15.75" customHeight="1">
      <c r="A29" s="32"/>
      <c r="B29" s="38"/>
      <c r="C29" s="32"/>
      <c r="D29" s="33"/>
      <c r="E29" s="33"/>
      <c r="F29" s="32"/>
      <c r="G29" s="35">
        <f t="shared" si="6"/>
        <v>0</v>
      </c>
      <c r="H29" s="32"/>
      <c r="I29" s="35">
        <f t="shared" si="7"/>
        <v>0</v>
      </c>
      <c r="J29" s="35" t="str">
        <f t="shared" si="0"/>
        <v/>
      </c>
      <c r="K29" s="35">
        <f t="shared" si="1"/>
        <v>0</v>
      </c>
      <c r="L29" s="58"/>
      <c r="M29" s="35">
        <f t="shared" si="2"/>
        <v>0</v>
      </c>
      <c r="N29" s="35" t="str">
        <f t="shared" si="3"/>
        <v/>
      </c>
      <c r="O29" s="35">
        <f t="shared" si="4"/>
        <v>0</v>
      </c>
      <c r="P29" s="36" t="str">
        <f t="shared" si="5"/>
        <v/>
      </c>
      <c r="Q29" s="34"/>
      <c r="R29" s="49"/>
      <c r="S29" s="2"/>
      <c r="T29" s="60" t="s">
        <v>97</v>
      </c>
      <c r="U29" s="62"/>
      <c r="V29" s="23"/>
      <c r="W29" s="61" t="s">
        <v>101</v>
      </c>
      <c r="X29" s="61" t="s">
        <v>101</v>
      </c>
      <c r="Y29" s="23"/>
    </row>
    <row r="30" spans="1:27" ht="15.75" customHeight="1">
      <c r="A30" s="32"/>
      <c r="B30" s="63"/>
      <c r="C30" s="32"/>
      <c r="D30" s="33"/>
      <c r="E30" s="33"/>
      <c r="F30" s="32"/>
      <c r="G30" s="35">
        <f t="shared" si="6"/>
        <v>0</v>
      </c>
      <c r="H30" s="32"/>
      <c r="I30" s="35">
        <f t="shared" si="7"/>
        <v>0</v>
      </c>
      <c r="J30" s="35" t="str">
        <f t="shared" si="0"/>
        <v/>
      </c>
      <c r="K30" s="35">
        <f t="shared" si="1"/>
        <v>0</v>
      </c>
      <c r="L30" s="58"/>
      <c r="M30" s="35">
        <f t="shared" si="2"/>
        <v>0</v>
      </c>
      <c r="N30" s="35" t="str">
        <f t="shared" si="3"/>
        <v/>
      </c>
      <c r="O30" s="35">
        <f t="shared" si="4"/>
        <v>0</v>
      </c>
      <c r="P30" s="36" t="str">
        <f t="shared" si="5"/>
        <v/>
      </c>
      <c r="Q30" s="34"/>
      <c r="R30" s="49"/>
      <c r="S30" s="2"/>
      <c r="T30" s="60" t="s">
        <v>103</v>
      </c>
      <c r="U30" s="62"/>
      <c r="V30" s="55"/>
      <c r="W30" s="64"/>
      <c r="X30" s="62"/>
      <c r="Y30" s="61" t="s">
        <v>101</v>
      </c>
    </row>
    <row r="31" spans="1:27" ht="15.75" customHeight="1">
      <c r="A31" s="32"/>
      <c r="B31" s="63"/>
      <c r="C31" s="32"/>
      <c r="D31" s="33"/>
      <c r="E31" s="33"/>
      <c r="F31" s="32"/>
      <c r="G31" s="35">
        <f t="shared" si="6"/>
        <v>0</v>
      </c>
      <c r="H31" s="32"/>
      <c r="I31" s="35">
        <f t="shared" si="7"/>
        <v>0</v>
      </c>
      <c r="J31" s="35" t="str">
        <f t="shared" si="0"/>
        <v/>
      </c>
      <c r="K31" s="35">
        <f t="shared" si="1"/>
        <v>0</v>
      </c>
      <c r="L31" s="58"/>
      <c r="M31" s="35">
        <f t="shared" si="2"/>
        <v>0</v>
      </c>
      <c r="N31" s="35" t="str">
        <f t="shared" si="3"/>
        <v/>
      </c>
      <c r="O31" s="35">
        <f t="shared" si="4"/>
        <v>0</v>
      </c>
      <c r="P31" s="36" t="str">
        <f t="shared" si="5"/>
        <v/>
      </c>
      <c r="Q31" s="34"/>
      <c r="R31" s="49"/>
      <c r="S31" s="2"/>
      <c r="T31" s="60" t="s">
        <v>104</v>
      </c>
      <c r="U31" s="62"/>
      <c r="V31" s="55"/>
      <c r="W31" s="64"/>
      <c r="X31" s="23"/>
      <c r="Y31" s="61" t="s">
        <v>101</v>
      </c>
    </row>
    <row r="32" spans="1:27" ht="15.75" customHeight="1">
      <c r="A32" s="32"/>
      <c r="B32" s="63"/>
      <c r="C32" s="32"/>
      <c r="D32" s="33"/>
      <c r="E32" s="33"/>
      <c r="F32" s="32"/>
      <c r="G32" s="35">
        <f t="shared" si="6"/>
        <v>0</v>
      </c>
      <c r="H32" s="32"/>
      <c r="I32" s="35">
        <f t="shared" si="7"/>
        <v>0</v>
      </c>
      <c r="J32" s="35" t="str">
        <f t="shared" si="0"/>
        <v/>
      </c>
      <c r="K32" s="35">
        <f t="shared" si="1"/>
        <v>0</v>
      </c>
      <c r="L32" s="58"/>
      <c r="M32" s="35">
        <f t="shared" si="2"/>
        <v>0</v>
      </c>
      <c r="N32" s="35" t="str">
        <f t="shared" si="3"/>
        <v/>
      </c>
      <c r="O32" s="35">
        <f t="shared" si="4"/>
        <v>0</v>
      </c>
      <c r="P32" s="36" t="str">
        <f t="shared" si="5"/>
        <v/>
      </c>
      <c r="Q32" s="34"/>
      <c r="R32" s="49"/>
      <c r="S32" s="56"/>
      <c r="T32" s="57"/>
      <c r="U32" s="57"/>
      <c r="V32" s="57"/>
      <c r="W32" s="57"/>
    </row>
    <row r="33" spans="1:26" ht="15.75" customHeight="1">
      <c r="A33" s="32"/>
      <c r="B33" s="63"/>
      <c r="C33" s="32"/>
      <c r="D33" s="33"/>
      <c r="E33" s="33"/>
      <c r="F33" s="32"/>
      <c r="G33" s="35">
        <f t="shared" si="6"/>
        <v>0</v>
      </c>
      <c r="H33" s="32"/>
      <c r="I33" s="35">
        <f t="shared" si="7"/>
        <v>0</v>
      </c>
      <c r="J33" s="35" t="str">
        <f t="shared" si="0"/>
        <v/>
      </c>
      <c r="K33" s="35">
        <f t="shared" si="1"/>
        <v>0</v>
      </c>
      <c r="L33" s="58"/>
      <c r="M33" s="35">
        <f t="shared" si="2"/>
        <v>0</v>
      </c>
      <c r="N33" s="35" t="str">
        <f t="shared" si="3"/>
        <v/>
      </c>
      <c r="O33" s="35">
        <f t="shared" si="4"/>
        <v>0</v>
      </c>
      <c r="P33" s="36" t="str">
        <f t="shared" si="5"/>
        <v/>
      </c>
      <c r="Q33" s="34"/>
      <c r="R33" s="49"/>
      <c r="S33" s="65" t="s">
        <v>105</v>
      </c>
      <c r="T33" s="57"/>
      <c r="U33" s="57"/>
      <c r="V33" s="57"/>
      <c r="W33" s="57"/>
    </row>
    <row r="34" spans="1:26" ht="15.75" customHeight="1">
      <c r="A34" s="32"/>
      <c r="B34" s="63"/>
      <c r="C34" s="32"/>
      <c r="D34" s="33"/>
      <c r="E34" s="33"/>
      <c r="F34" s="32"/>
      <c r="G34" s="35">
        <f t="shared" si="6"/>
        <v>0</v>
      </c>
      <c r="H34" s="32"/>
      <c r="I34" s="35">
        <f t="shared" si="7"/>
        <v>0</v>
      </c>
      <c r="J34" s="35" t="str">
        <f t="shared" si="0"/>
        <v/>
      </c>
      <c r="K34" s="35">
        <f t="shared" si="1"/>
        <v>0</v>
      </c>
      <c r="L34" s="58"/>
      <c r="M34" s="35">
        <f t="shared" si="2"/>
        <v>0</v>
      </c>
      <c r="N34" s="35" t="str">
        <f t="shared" si="3"/>
        <v/>
      </c>
      <c r="O34" s="35">
        <f t="shared" si="4"/>
        <v>0</v>
      </c>
      <c r="P34" s="36" t="str">
        <f t="shared" si="5"/>
        <v/>
      </c>
      <c r="Q34" s="34"/>
      <c r="R34" s="49"/>
      <c r="T34" s="66" t="s">
        <v>106</v>
      </c>
      <c r="U34" s="67"/>
      <c r="V34" s="67"/>
      <c r="W34" s="68"/>
      <c r="X34" s="69" t="s">
        <v>107</v>
      </c>
      <c r="Y34" s="70"/>
      <c r="Z34" s="71"/>
    </row>
    <row r="35" spans="1:26" ht="12.75" customHeight="1">
      <c r="A35" s="32">
        <v>29</v>
      </c>
      <c r="B35" s="63"/>
      <c r="C35" s="32"/>
      <c r="D35" s="33"/>
      <c r="E35" s="33"/>
      <c r="F35" s="32"/>
      <c r="G35" s="35">
        <f t="shared" si="6"/>
        <v>0</v>
      </c>
      <c r="H35" s="32"/>
      <c r="I35" s="35">
        <f t="shared" si="7"/>
        <v>0</v>
      </c>
      <c r="J35" s="35" t="str">
        <f t="shared" si="0"/>
        <v/>
      </c>
      <c r="K35" s="35">
        <f t="shared" si="1"/>
        <v>0</v>
      </c>
      <c r="L35" s="58"/>
      <c r="M35" s="35">
        <f t="shared" si="2"/>
        <v>0</v>
      </c>
      <c r="N35" s="35" t="str">
        <f t="shared" si="3"/>
        <v/>
      </c>
      <c r="O35" s="35">
        <f t="shared" si="4"/>
        <v>0</v>
      </c>
      <c r="P35" s="36" t="str">
        <f t="shared" si="5"/>
        <v/>
      </c>
      <c r="Q35" s="34"/>
      <c r="R35" s="49"/>
      <c r="S35" s="72" t="s">
        <v>47</v>
      </c>
      <c r="T35" s="73" t="s">
        <v>108</v>
      </c>
      <c r="U35" s="74"/>
      <c r="V35" s="74"/>
      <c r="W35" s="75"/>
      <c r="X35" s="76" t="s">
        <v>109</v>
      </c>
      <c r="Y35" s="77"/>
      <c r="Z35" s="22"/>
    </row>
    <row r="36" spans="1:26" ht="12.75" customHeight="1">
      <c r="A36" s="78"/>
      <c r="B36" s="78"/>
      <c r="C36" s="78"/>
      <c r="D36" s="49"/>
      <c r="E36" s="49"/>
      <c r="F36" s="49"/>
      <c r="G36" s="49"/>
      <c r="H36" s="49"/>
      <c r="I36" s="49"/>
      <c r="J36" s="78"/>
      <c r="K36" s="78"/>
      <c r="L36" s="78"/>
      <c r="M36" s="78"/>
      <c r="N36" s="78"/>
      <c r="O36" s="78"/>
      <c r="P36" s="49"/>
      <c r="Q36" s="49"/>
      <c r="R36" s="49"/>
      <c r="S36" s="72" t="s">
        <v>95</v>
      </c>
      <c r="T36" s="76" t="s">
        <v>110</v>
      </c>
      <c r="U36" s="79"/>
      <c r="V36" s="79"/>
      <c r="W36" s="80"/>
      <c r="X36" s="76" t="s">
        <v>111</v>
      </c>
      <c r="Y36" s="77"/>
      <c r="Z36" s="22"/>
    </row>
    <row r="37" spans="1:26" ht="12.75" customHeight="1">
      <c r="A37" s="78"/>
      <c r="B37" s="78"/>
      <c r="C37" s="78"/>
      <c r="D37" s="49"/>
      <c r="E37" s="49"/>
      <c r="F37" s="49"/>
      <c r="G37" s="49"/>
      <c r="H37" s="49"/>
      <c r="I37" s="49"/>
      <c r="J37" s="78"/>
      <c r="K37" s="78"/>
      <c r="L37" s="78"/>
      <c r="M37" s="78"/>
      <c r="N37" s="78"/>
      <c r="O37" s="78"/>
      <c r="P37" s="49"/>
      <c r="Q37" s="49"/>
      <c r="R37" s="49"/>
      <c r="S37" s="72" t="s">
        <v>96</v>
      </c>
      <c r="T37" s="76" t="s">
        <v>112</v>
      </c>
      <c r="U37" s="79"/>
      <c r="V37" s="79"/>
      <c r="W37" s="80"/>
      <c r="X37" s="76" t="s">
        <v>113</v>
      </c>
      <c r="Y37" s="77"/>
      <c r="Z37" s="22"/>
    </row>
    <row r="38" spans="1:26" ht="12.75" customHeight="1">
      <c r="A38" s="78"/>
      <c r="B38" s="78"/>
      <c r="C38" s="78"/>
      <c r="D38" s="49"/>
      <c r="E38" s="49"/>
      <c r="F38" s="49"/>
      <c r="G38" s="49"/>
      <c r="H38" s="47"/>
      <c r="I38" s="47"/>
      <c r="J38" s="52"/>
      <c r="K38" s="52"/>
      <c r="L38" s="52"/>
      <c r="M38" s="52"/>
      <c r="N38" s="52"/>
      <c r="O38" s="52"/>
      <c r="P38" s="47"/>
      <c r="Q38" s="47"/>
      <c r="R38" s="49"/>
      <c r="S38" s="72" t="s">
        <v>97</v>
      </c>
      <c r="T38" s="81" t="s">
        <v>114</v>
      </c>
      <c r="U38" s="79"/>
      <c r="V38" s="79"/>
      <c r="W38" s="80"/>
      <c r="X38" s="76" t="s">
        <v>115</v>
      </c>
      <c r="Y38" s="77"/>
      <c r="Z38" s="22"/>
    </row>
    <row r="39" spans="1:26" ht="12.75" customHeight="1">
      <c r="A39" s="78"/>
      <c r="B39" s="78"/>
      <c r="C39" s="78"/>
      <c r="D39" s="49"/>
      <c r="E39" s="49"/>
      <c r="F39" s="49"/>
      <c r="G39" s="49"/>
      <c r="H39" s="47"/>
      <c r="I39" s="47"/>
      <c r="J39" s="52"/>
      <c r="K39" s="52"/>
      <c r="L39" s="52"/>
      <c r="M39" s="52"/>
      <c r="N39" s="52"/>
      <c r="O39" s="52"/>
      <c r="P39" s="47"/>
      <c r="Q39" s="47"/>
      <c r="R39" s="47"/>
      <c r="S39" s="72" t="s">
        <v>30</v>
      </c>
      <c r="T39" s="81" t="s">
        <v>116</v>
      </c>
      <c r="U39" s="79"/>
      <c r="V39" s="79"/>
      <c r="W39" s="80"/>
      <c r="X39" s="76" t="s">
        <v>117</v>
      </c>
      <c r="Y39" s="77"/>
      <c r="Z39" s="22"/>
    </row>
    <row r="40" spans="1:26" ht="12" customHeight="1">
      <c r="A40" s="52"/>
      <c r="B40" s="52"/>
      <c r="C40" s="52"/>
      <c r="D40" s="52"/>
      <c r="E40" s="52"/>
      <c r="F40" s="47"/>
      <c r="G40" s="47"/>
      <c r="H40" s="47"/>
      <c r="I40" s="47"/>
      <c r="J40" s="52"/>
      <c r="K40" s="52"/>
      <c r="L40" s="52"/>
      <c r="M40" s="52"/>
      <c r="N40" s="52"/>
      <c r="O40" s="52"/>
      <c r="P40" s="47"/>
      <c r="Q40" s="47"/>
      <c r="R40" s="47"/>
      <c r="S40" s="47"/>
    </row>
    <row r="41" spans="1:26" ht="12.75" customHeight="1">
      <c r="F41" s="47"/>
      <c r="G41" s="47"/>
      <c r="P41" s="47"/>
      <c r="Q41" s="47"/>
      <c r="R41" s="47"/>
      <c r="S41" s="65"/>
      <c r="T41" s="57"/>
      <c r="U41" s="57"/>
      <c r="V41" s="57"/>
      <c r="W41" s="57"/>
    </row>
    <row r="42" spans="1:26" ht="12.75" customHeight="1">
      <c r="F42" s="47"/>
      <c r="G42" s="47"/>
      <c r="P42" s="47"/>
      <c r="Q42" s="47"/>
      <c r="R42" s="47"/>
      <c r="S42" s="65"/>
      <c r="T42" s="57"/>
      <c r="U42" s="57"/>
      <c r="V42" s="57"/>
      <c r="W42" s="57"/>
    </row>
    <row r="43" spans="1:26" ht="12.75" customHeight="1">
      <c r="F43" s="47"/>
      <c r="G43" s="47"/>
      <c r="P43" s="47"/>
      <c r="Q43" s="47"/>
      <c r="R43" s="47"/>
      <c r="S43" s="65"/>
      <c r="T43" s="57"/>
      <c r="U43" s="57"/>
      <c r="V43" s="57"/>
      <c r="W43" s="57"/>
    </row>
    <row r="44" spans="1:26" ht="12.75" customHeight="1">
      <c r="F44" s="47"/>
      <c r="G44" s="47"/>
      <c r="P44" s="47"/>
      <c r="Q44" s="47"/>
      <c r="R44" s="47"/>
      <c r="S44" s="65"/>
      <c r="T44" s="57"/>
      <c r="U44" s="57"/>
      <c r="V44" s="57"/>
      <c r="W44" s="57"/>
    </row>
    <row r="45" spans="1:26" ht="12.75" customHeight="1">
      <c r="F45" s="47"/>
      <c r="G45" s="47"/>
      <c r="P45" s="47"/>
      <c r="Q45" s="47"/>
      <c r="R45" s="47"/>
      <c r="S45" s="65"/>
      <c r="T45" s="57"/>
      <c r="U45" s="57"/>
      <c r="V45" s="57"/>
      <c r="W45" s="57"/>
    </row>
    <row r="46" spans="1:26" ht="12" customHeight="1">
      <c r="F46" s="47"/>
      <c r="G46" s="47"/>
      <c r="P46" s="47"/>
      <c r="Q46" s="47"/>
      <c r="R46" s="47"/>
    </row>
    <row r="47" spans="1:26" ht="12" customHeight="1">
      <c r="F47" s="47"/>
      <c r="G47" s="47"/>
      <c r="P47" s="47"/>
      <c r="Q47" s="47"/>
      <c r="R47" s="47"/>
    </row>
    <row r="48" spans="1:26" ht="12" customHeight="1">
      <c r="F48" s="47"/>
      <c r="G48" s="47"/>
      <c r="P48" s="47"/>
      <c r="Q48" s="47"/>
      <c r="R48" s="47"/>
    </row>
    <row r="49" spans="16:18" ht="12" customHeight="1">
      <c r="P49" s="47"/>
      <c r="Q49" s="47"/>
      <c r="R49" s="47"/>
    </row>
    <row r="50" spans="16:18" ht="12" customHeight="1">
      <c r="P50" s="47"/>
      <c r="Q50" s="47"/>
      <c r="R50" s="47"/>
    </row>
    <row r="51" spans="16:18" ht="12" customHeight="1">
      <c r="P51" s="47"/>
      <c r="Q51" s="47"/>
      <c r="R51" s="47"/>
    </row>
    <row r="52" spans="16:18" ht="12" customHeight="1">
      <c r="P52" s="47"/>
      <c r="Q52" s="47"/>
      <c r="R52" s="47"/>
    </row>
    <row r="53" spans="16:18" ht="12" customHeight="1">
      <c r="P53" s="47"/>
      <c r="Q53" s="47"/>
      <c r="R53" s="47"/>
    </row>
    <row r="54" spans="16:18" ht="12" customHeight="1">
      <c r="P54" s="47"/>
      <c r="Q54" s="47"/>
      <c r="R54" s="47"/>
    </row>
    <row r="55" spans="16:18" ht="12" customHeight="1">
      <c r="P55" s="47"/>
      <c r="Q55" s="47"/>
      <c r="R55" s="47"/>
    </row>
    <row r="56" spans="16:18" ht="12" customHeight="1">
      <c r="P56" s="47"/>
      <c r="Q56" s="47"/>
      <c r="R56" s="47"/>
    </row>
    <row r="57" spans="16:18" ht="12" customHeight="1">
      <c r="P57" s="47"/>
      <c r="Q57" s="47"/>
      <c r="R57" s="47"/>
    </row>
    <row r="58" spans="16:18" ht="12" customHeight="1">
      <c r="P58" s="47"/>
      <c r="Q58" s="47"/>
      <c r="R58" s="47"/>
    </row>
    <row r="59" spans="16:18" ht="12" customHeight="1">
      <c r="P59" s="47"/>
      <c r="Q59" s="47"/>
      <c r="R59" s="47"/>
    </row>
    <row r="60" spans="16:18" ht="12" customHeight="1">
      <c r="P60" s="47"/>
      <c r="Q60" s="47"/>
      <c r="R60" s="47"/>
    </row>
    <row r="61" spans="16:18" ht="12" customHeight="1">
      <c r="P61" s="47"/>
      <c r="Q61" s="47"/>
      <c r="R61" s="47"/>
    </row>
    <row r="62" spans="16:18" ht="12" customHeight="1">
      <c r="R62" s="47"/>
    </row>
  </sheetData>
  <mergeCells count="14">
    <mergeCell ref="U16:W16"/>
    <mergeCell ref="S18:S23"/>
    <mergeCell ref="U25:Y25"/>
    <mergeCell ref="S27:S31"/>
    <mergeCell ref="A3:J3"/>
    <mergeCell ref="K3:Q3"/>
    <mergeCell ref="A4:J4"/>
    <mergeCell ref="U8:W8"/>
    <mergeCell ref="S10:S12"/>
    <mergeCell ref="A1:M1"/>
    <mergeCell ref="N1:Q1"/>
    <mergeCell ref="A2:J2"/>
    <mergeCell ref="K2:N2"/>
    <mergeCell ref="O2:Q2"/>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41"/>
  <sheetViews>
    <sheetView zoomScale="110" zoomScaleNormal="110" workbookViewId="0">
      <selection activeCell="A4" sqref="A4:H7"/>
    </sheetView>
  </sheetViews>
  <sheetFormatPr baseColWidth="10" defaultColWidth="11.5546875" defaultRowHeight="13.2"/>
  <cols>
    <col min="1" max="1" width="26.21875" style="82" customWidth="1"/>
    <col min="2" max="8" width="10.77734375" style="82" customWidth="1"/>
    <col min="9" max="256" width="11.5546875" style="82"/>
    <col min="257" max="257" width="23.44140625" style="82" customWidth="1"/>
    <col min="258" max="264" width="10.77734375" style="82" customWidth="1"/>
    <col min="265" max="512" width="11.5546875" style="82"/>
    <col min="513" max="513" width="23.44140625" style="82" customWidth="1"/>
    <col min="514" max="520" width="10.77734375" style="82" customWidth="1"/>
    <col min="521" max="768" width="11.5546875" style="82"/>
    <col min="769" max="769" width="23.44140625" style="82" customWidth="1"/>
    <col min="770" max="776" width="10.77734375" style="82" customWidth="1"/>
    <col min="777" max="1024" width="11.5546875" style="82"/>
    <col min="1025" max="1025" width="23.44140625" style="82" customWidth="1"/>
    <col min="1026" max="1032" width="10.77734375" style="82" customWidth="1"/>
    <col min="1033" max="1280" width="11.5546875" style="82"/>
    <col min="1281" max="1281" width="23.44140625" style="82" customWidth="1"/>
    <col min="1282" max="1288" width="10.77734375" style="82" customWidth="1"/>
    <col min="1289" max="1536" width="11.5546875" style="82"/>
    <col min="1537" max="1537" width="23.44140625" style="82" customWidth="1"/>
    <col min="1538" max="1544" width="10.77734375" style="82" customWidth="1"/>
    <col min="1545" max="1792" width="11.5546875" style="82"/>
    <col min="1793" max="1793" width="23.44140625" style="82" customWidth="1"/>
    <col min="1794" max="1800" width="10.77734375" style="82" customWidth="1"/>
    <col min="1801" max="2048" width="11.5546875" style="82"/>
    <col min="2049" max="2049" width="23.44140625" style="82" customWidth="1"/>
    <col min="2050" max="2056" width="10.77734375" style="82" customWidth="1"/>
    <col min="2057" max="2304" width="11.5546875" style="82"/>
    <col min="2305" max="2305" width="23.44140625" style="82" customWidth="1"/>
    <col min="2306" max="2312" width="10.77734375" style="82" customWidth="1"/>
    <col min="2313" max="2560" width="11.5546875" style="82"/>
    <col min="2561" max="2561" width="23.44140625" style="82" customWidth="1"/>
    <col min="2562" max="2568" width="10.77734375" style="82" customWidth="1"/>
    <col min="2569" max="2816" width="11.5546875" style="82"/>
    <col min="2817" max="2817" width="23.44140625" style="82" customWidth="1"/>
    <col min="2818" max="2824" width="10.77734375" style="82" customWidth="1"/>
    <col min="2825" max="3072" width="11.5546875" style="82"/>
    <col min="3073" max="3073" width="23.44140625" style="82" customWidth="1"/>
    <col min="3074" max="3080" width="10.77734375" style="82" customWidth="1"/>
    <col min="3081" max="3328" width="11.5546875" style="82"/>
    <col min="3329" max="3329" width="23.44140625" style="82" customWidth="1"/>
    <col min="3330" max="3336" width="10.77734375" style="82" customWidth="1"/>
    <col min="3337" max="3584" width="11.5546875" style="82"/>
    <col min="3585" max="3585" width="23.44140625" style="82" customWidth="1"/>
    <col min="3586" max="3592" width="10.77734375" style="82" customWidth="1"/>
    <col min="3593" max="3840" width="11.5546875" style="82"/>
    <col min="3841" max="3841" width="23.44140625" style="82" customWidth="1"/>
    <col min="3842" max="3848" width="10.77734375" style="82" customWidth="1"/>
    <col min="3849" max="4096" width="11.5546875" style="82"/>
    <col min="4097" max="4097" width="23.44140625" style="82" customWidth="1"/>
    <col min="4098" max="4104" width="10.77734375" style="82" customWidth="1"/>
    <col min="4105" max="4352" width="11.5546875" style="82"/>
    <col min="4353" max="4353" width="23.44140625" style="82" customWidth="1"/>
    <col min="4354" max="4360" width="10.77734375" style="82" customWidth="1"/>
    <col min="4361" max="4608" width="11.5546875" style="82"/>
    <col min="4609" max="4609" width="23.44140625" style="82" customWidth="1"/>
    <col min="4610" max="4616" width="10.77734375" style="82" customWidth="1"/>
    <col min="4617" max="4864" width="11.5546875" style="82"/>
    <col min="4865" max="4865" width="23.44140625" style="82" customWidth="1"/>
    <col min="4866" max="4872" width="10.77734375" style="82" customWidth="1"/>
    <col min="4873" max="5120" width="11.5546875" style="82"/>
    <col min="5121" max="5121" width="23.44140625" style="82" customWidth="1"/>
    <col min="5122" max="5128" width="10.77734375" style="82" customWidth="1"/>
    <col min="5129" max="5376" width="11.5546875" style="82"/>
    <col min="5377" max="5377" width="23.44140625" style="82" customWidth="1"/>
    <col min="5378" max="5384" width="10.77734375" style="82" customWidth="1"/>
    <col min="5385" max="5632" width="11.5546875" style="82"/>
    <col min="5633" max="5633" width="23.44140625" style="82" customWidth="1"/>
    <col min="5634" max="5640" width="10.77734375" style="82" customWidth="1"/>
    <col min="5641" max="5888" width="11.5546875" style="82"/>
    <col min="5889" max="5889" width="23.44140625" style="82" customWidth="1"/>
    <col min="5890" max="5896" width="10.77734375" style="82" customWidth="1"/>
    <col min="5897" max="6144" width="11.5546875" style="82"/>
    <col min="6145" max="6145" width="23.44140625" style="82" customWidth="1"/>
    <col min="6146" max="6152" width="10.77734375" style="82" customWidth="1"/>
    <col min="6153" max="6400" width="11.5546875" style="82"/>
    <col min="6401" max="6401" width="23.44140625" style="82" customWidth="1"/>
    <col min="6402" max="6408" width="10.77734375" style="82" customWidth="1"/>
    <col min="6409" max="6656" width="11.5546875" style="82"/>
    <col min="6657" max="6657" width="23.44140625" style="82" customWidth="1"/>
    <col min="6658" max="6664" width="10.77734375" style="82" customWidth="1"/>
    <col min="6665" max="6912" width="11.5546875" style="82"/>
    <col min="6913" max="6913" width="23.44140625" style="82" customWidth="1"/>
    <col min="6914" max="6920" width="10.77734375" style="82" customWidth="1"/>
    <col min="6921" max="7168" width="11.5546875" style="82"/>
    <col min="7169" max="7169" width="23.44140625" style="82" customWidth="1"/>
    <col min="7170" max="7176" width="10.77734375" style="82" customWidth="1"/>
    <col min="7177" max="7424" width="11.5546875" style="82"/>
    <col min="7425" max="7425" width="23.44140625" style="82" customWidth="1"/>
    <col min="7426" max="7432" width="10.77734375" style="82" customWidth="1"/>
    <col min="7433" max="7680" width="11.5546875" style="82"/>
    <col min="7681" max="7681" width="23.44140625" style="82" customWidth="1"/>
    <col min="7682" max="7688" width="10.77734375" style="82" customWidth="1"/>
    <col min="7689" max="7936" width="11.5546875" style="82"/>
    <col min="7937" max="7937" width="23.44140625" style="82" customWidth="1"/>
    <col min="7938" max="7944" width="10.77734375" style="82" customWidth="1"/>
    <col min="7945" max="8192" width="11.5546875" style="82"/>
    <col min="8193" max="8193" width="23.44140625" style="82" customWidth="1"/>
    <col min="8194" max="8200" width="10.77734375" style="82" customWidth="1"/>
    <col min="8201" max="8448" width="11.5546875" style="82"/>
    <col min="8449" max="8449" width="23.44140625" style="82" customWidth="1"/>
    <col min="8450" max="8456" width="10.77734375" style="82" customWidth="1"/>
    <col min="8457" max="8704" width="11.5546875" style="82"/>
    <col min="8705" max="8705" width="23.44140625" style="82" customWidth="1"/>
    <col min="8706" max="8712" width="10.77734375" style="82" customWidth="1"/>
    <col min="8713" max="8960" width="11.5546875" style="82"/>
    <col min="8961" max="8961" width="23.44140625" style="82" customWidth="1"/>
    <col min="8962" max="8968" width="10.77734375" style="82" customWidth="1"/>
    <col min="8969" max="9216" width="11.5546875" style="82"/>
    <col min="9217" max="9217" width="23.44140625" style="82" customWidth="1"/>
    <col min="9218" max="9224" width="10.77734375" style="82" customWidth="1"/>
    <col min="9225" max="9472" width="11.5546875" style="82"/>
    <col min="9473" max="9473" width="23.44140625" style="82" customWidth="1"/>
    <col min="9474" max="9480" width="10.77734375" style="82" customWidth="1"/>
    <col min="9481" max="9728" width="11.5546875" style="82"/>
    <col min="9729" max="9729" width="23.44140625" style="82" customWidth="1"/>
    <col min="9730" max="9736" width="10.77734375" style="82" customWidth="1"/>
    <col min="9737" max="9984" width="11.5546875" style="82"/>
    <col min="9985" max="9985" width="23.44140625" style="82" customWidth="1"/>
    <col min="9986" max="9992" width="10.77734375" style="82" customWidth="1"/>
    <col min="9993" max="10240" width="11.5546875" style="82"/>
    <col min="10241" max="10241" width="23.44140625" style="82" customWidth="1"/>
    <col min="10242" max="10248" width="10.77734375" style="82" customWidth="1"/>
    <col min="10249" max="10496" width="11.5546875" style="82"/>
    <col min="10497" max="10497" width="23.44140625" style="82" customWidth="1"/>
    <col min="10498" max="10504" width="10.77734375" style="82" customWidth="1"/>
    <col min="10505" max="10752" width="11.5546875" style="82"/>
    <col min="10753" max="10753" width="23.44140625" style="82" customWidth="1"/>
    <col min="10754" max="10760" width="10.77734375" style="82" customWidth="1"/>
    <col min="10761" max="11008" width="11.5546875" style="82"/>
    <col min="11009" max="11009" width="23.44140625" style="82" customWidth="1"/>
    <col min="11010" max="11016" width="10.77734375" style="82" customWidth="1"/>
    <col min="11017" max="11264" width="11.5546875" style="82"/>
    <col min="11265" max="11265" width="23.44140625" style="82" customWidth="1"/>
    <col min="11266" max="11272" width="10.77734375" style="82" customWidth="1"/>
    <col min="11273" max="11520" width="11.5546875" style="82"/>
    <col min="11521" max="11521" width="23.44140625" style="82" customWidth="1"/>
    <col min="11522" max="11528" width="10.77734375" style="82" customWidth="1"/>
    <col min="11529" max="11776" width="11.5546875" style="82"/>
    <col min="11777" max="11777" width="23.44140625" style="82" customWidth="1"/>
    <col min="11778" max="11784" width="10.77734375" style="82" customWidth="1"/>
    <col min="11785" max="12032" width="11.5546875" style="82"/>
    <col min="12033" max="12033" width="23.44140625" style="82" customWidth="1"/>
    <col min="12034" max="12040" width="10.77734375" style="82" customWidth="1"/>
    <col min="12041" max="12288" width="11.5546875" style="82"/>
    <col min="12289" max="12289" width="23.44140625" style="82" customWidth="1"/>
    <col min="12290" max="12296" width="10.77734375" style="82" customWidth="1"/>
    <col min="12297" max="12544" width="11.5546875" style="82"/>
    <col min="12545" max="12545" width="23.44140625" style="82" customWidth="1"/>
    <col min="12546" max="12552" width="10.77734375" style="82" customWidth="1"/>
    <col min="12553" max="12800" width="11.5546875" style="82"/>
    <col min="12801" max="12801" width="23.44140625" style="82" customWidth="1"/>
    <col min="12802" max="12808" width="10.77734375" style="82" customWidth="1"/>
    <col min="12809" max="13056" width="11.5546875" style="82"/>
    <col min="13057" max="13057" width="23.44140625" style="82" customWidth="1"/>
    <col min="13058" max="13064" width="10.77734375" style="82" customWidth="1"/>
    <col min="13065" max="13312" width="11.5546875" style="82"/>
    <col min="13313" max="13313" width="23.44140625" style="82" customWidth="1"/>
    <col min="13314" max="13320" width="10.77734375" style="82" customWidth="1"/>
    <col min="13321" max="13568" width="11.5546875" style="82"/>
    <col min="13569" max="13569" width="23.44140625" style="82" customWidth="1"/>
    <col min="13570" max="13576" width="10.77734375" style="82" customWidth="1"/>
    <col min="13577" max="13824" width="11.5546875" style="82"/>
    <col min="13825" max="13825" width="23.44140625" style="82" customWidth="1"/>
    <col min="13826" max="13832" width="10.77734375" style="82" customWidth="1"/>
    <col min="13833" max="14080" width="11.5546875" style="82"/>
    <col min="14081" max="14081" width="23.44140625" style="82" customWidth="1"/>
    <col min="14082" max="14088" width="10.77734375" style="82" customWidth="1"/>
    <col min="14089" max="14336" width="11.5546875" style="82"/>
    <col min="14337" max="14337" width="23.44140625" style="82" customWidth="1"/>
    <col min="14338" max="14344" width="10.77734375" style="82" customWidth="1"/>
    <col min="14345" max="14592" width="11.5546875" style="82"/>
    <col min="14593" max="14593" width="23.44140625" style="82" customWidth="1"/>
    <col min="14594" max="14600" width="10.77734375" style="82" customWidth="1"/>
    <col min="14601" max="14848" width="11.5546875" style="82"/>
    <col min="14849" max="14849" width="23.44140625" style="82" customWidth="1"/>
    <col min="14850" max="14856" width="10.77734375" style="82" customWidth="1"/>
    <col min="14857" max="15104" width="11.5546875" style="82"/>
    <col min="15105" max="15105" width="23.44140625" style="82" customWidth="1"/>
    <col min="15106" max="15112" width="10.77734375" style="82" customWidth="1"/>
    <col min="15113" max="15360" width="11.5546875" style="82"/>
    <col min="15361" max="15361" width="23.44140625" style="82" customWidth="1"/>
    <col min="15362" max="15368" width="10.77734375" style="82" customWidth="1"/>
    <col min="15369" max="15616" width="11.5546875" style="82"/>
    <col min="15617" max="15617" width="23.44140625" style="82" customWidth="1"/>
    <col min="15618" max="15624" width="10.77734375" style="82" customWidth="1"/>
    <col min="15625" max="15872" width="11.5546875" style="82"/>
    <col min="15873" max="15873" width="23.44140625" style="82" customWidth="1"/>
    <col min="15874" max="15880" width="10.77734375" style="82" customWidth="1"/>
    <col min="15881" max="16128" width="11.5546875" style="82"/>
    <col min="16129" max="16129" width="23.44140625" style="82" customWidth="1"/>
    <col min="16130" max="16136" width="10.77734375" style="82" customWidth="1"/>
    <col min="16137" max="16384" width="11.5546875" style="82"/>
  </cols>
  <sheetData>
    <row r="1" spans="1:8" ht="12" customHeight="1">
      <c r="A1" s="83"/>
      <c r="B1" s="84"/>
      <c r="C1" s="85"/>
      <c r="D1" s="84"/>
      <c r="E1" s="84"/>
      <c r="F1" s="84"/>
      <c r="G1" s="84"/>
      <c r="H1" s="86"/>
    </row>
    <row r="2" spans="1:8" ht="30" customHeight="1">
      <c r="A2" s="87"/>
      <c r="C2" s="88" t="s">
        <v>118</v>
      </c>
      <c r="G2" s="89"/>
      <c r="H2" s="90"/>
    </row>
    <row r="3" spans="1:8" ht="15" customHeight="1">
      <c r="A3" s="91"/>
      <c r="B3" s="92"/>
      <c r="C3" s="93"/>
      <c r="D3" s="94"/>
      <c r="E3" s="94"/>
      <c r="F3" s="94"/>
      <c r="G3" s="94"/>
      <c r="H3" s="95"/>
    </row>
    <row r="4" spans="1:8" s="100" customFormat="1" ht="24.75" customHeight="1">
      <c r="A4" s="96" t="s">
        <v>119</v>
      </c>
      <c r="B4" s="142" t="s">
        <v>120</v>
      </c>
      <c r="C4" s="98"/>
      <c r="D4" s="99"/>
      <c r="E4" s="97" t="s">
        <v>121</v>
      </c>
      <c r="F4" s="98"/>
      <c r="G4" s="98"/>
      <c r="H4" s="143">
        <v>1</v>
      </c>
    </row>
    <row r="5" spans="1:8" s="100" customFormat="1" ht="24.75" customHeight="1">
      <c r="A5" s="96" t="s">
        <v>122</v>
      </c>
      <c r="B5" s="142" t="s">
        <v>46</v>
      </c>
      <c r="C5" s="98"/>
      <c r="D5" s="99"/>
      <c r="E5" s="97" t="s">
        <v>123</v>
      </c>
      <c r="F5" s="98"/>
      <c r="G5" s="98"/>
      <c r="H5" s="143">
        <v>1</v>
      </c>
    </row>
    <row r="6" spans="1:8" s="100" customFormat="1" ht="24.75" customHeight="1">
      <c r="A6" s="96" t="s">
        <v>124</v>
      </c>
      <c r="B6" s="142" t="s">
        <v>125</v>
      </c>
      <c r="C6" s="98"/>
      <c r="D6" s="98"/>
      <c r="E6" s="1" t="s">
        <v>126</v>
      </c>
      <c r="F6" s="1"/>
      <c r="G6" s="1"/>
      <c r="H6" s="1"/>
    </row>
    <row r="7" spans="1:8" s="100" customFormat="1" ht="24" customHeight="1">
      <c r="A7" s="96" t="s">
        <v>127</v>
      </c>
      <c r="B7" s="142" t="s">
        <v>128</v>
      </c>
      <c r="C7" s="98"/>
      <c r="D7" s="101"/>
      <c r="E7" s="93" t="s">
        <v>129</v>
      </c>
      <c r="F7" s="94" t="s">
        <v>130</v>
      </c>
      <c r="G7" s="94" t="s">
        <v>131</v>
      </c>
      <c r="H7" s="102"/>
    </row>
    <row r="8" spans="1:8" ht="18" customHeight="1">
      <c r="A8" s="103" t="s">
        <v>132</v>
      </c>
      <c r="B8" s="104"/>
      <c r="C8" s="105"/>
      <c r="D8" s="105"/>
      <c r="E8" s="105"/>
      <c r="F8" s="105"/>
      <c r="G8" s="105"/>
      <c r="H8" s="106"/>
    </row>
    <row r="9" spans="1:8" ht="15" customHeight="1">
      <c r="A9" s="144" t="s">
        <v>133</v>
      </c>
      <c r="B9" s="145"/>
      <c r="C9" s="145"/>
      <c r="D9" s="145"/>
      <c r="E9" s="145"/>
      <c r="F9" s="145"/>
      <c r="G9" s="145"/>
      <c r="H9" s="146"/>
    </row>
    <row r="10" spans="1:8" ht="15" customHeight="1">
      <c r="A10" s="144"/>
      <c r="B10" s="145"/>
      <c r="C10" s="145"/>
      <c r="D10" s="145"/>
      <c r="E10" s="145"/>
      <c r="F10" s="145"/>
      <c r="G10" s="145"/>
      <c r="H10" s="146"/>
    </row>
    <row r="11" spans="1:8" ht="15" customHeight="1">
      <c r="A11" s="144"/>
      <c r="B11" s="145"/>
      <c r="C11" s="145"/>
      <c r="D11" s="145"/>
      <c r="E11" s="145"/>
      <c r="F11" s="145"/>
      <c r="G11" s="145"/>
      <c r="H11" s="146"/>
    </row>
    <row r="12" spans="1:8" ht="15" customHeight="1">
      <c r="A12" s="144"/>
      <c r="B12" s="145"/>
      <c r="C12" s="145"/>
      <c r="D12" s="145"/>
      <c r="E12" s="145"/>
      <c r="F12" s="145"/>
      <c r="G12" s="145"/>
      <c r="H12" s="146"/>
    </row>
    <row r="13" spans="1:8" ht="15" customHeight="1">
      <c r="A13" s="147"/>
      <c r="B13" s="148"/>
      <c r="C13" s="148"/>
      <c r="D13" s="148"/>
      <c r="E13" s="148"/>
      <c r="F13" s="148"/>
      <c r="G13" s="148"/>
      <c r="H13" s="149"/>
    </row>
    <row r="14" spans="1:8" ht="15" customHeight="1">
      <c r="A14" s="150" t="s">
        <v>134</v>
      </c>
      <c r="B14" s="105"/>
      <c r="C14" s="155" t="s">
        <v>135</v>
      </c>
      <c r="D14" s="151"/>
      <c r="E14" s="112">
        <v>27</v>
      </c>
      <c r="F14" s="151" t="s">
        <v>136</v>
      </c>
      <c r="G14" s="152"/>
      <c r="H14" s="114" t="s">
        <v>30</v>
      </c>
    </row>
    <row r="15" spans="1:8" ht="15" customHeight="1">
      <c r="A15" s="108" t="s">
        <v>137</v>
      </c>
      <c r="B15" s="109"/>
      <c r="C15" s="153" t="s">
        <v>138</v>
      </c>
      <c r="D15" s="109"/>
      <c r="E15" s="115" t="s">
        <v>30</v>
      </c>
      <c r="F15" s="154" t="s">
        <v>139</v>
      </c>
      <c r="G15" s="117"/>
      <c r="H15" s="118" t="s">
        <v>30</v>
      </c>
    </row>
    <row r="16" spans="1:8" ht="24.75" customHeight="1">
      <c r="A16" s="119" t="s">
        <v>140</v>
      </c>
      <c r="B16" s="105"/>
      <c r="C16" s="105"/>
      <c r="D16" s="105"/>
      <c r="E16" s="105"/>
      <c r="F16" s="105"/>
      <c r="G16" s="105"/>
      <c r="H16" s="106"/>
    </row>
    <row r="17" spans="1:8" ht="24.75" customHeight="1">
      <c r="A17" s="107" t="s">
        <v>141</v>
      </c>
      <c r="B17" s="105"/>
      <c r="C17" s="105"/>
      <c r="D17" s="105"/>
      <c r="E17" s="105"/>
      <c r="F17" s="105"/>
      <c r="G17" s="105"/>
      <c r="H17" s="106"/>
    </row>
    <row r="18" spans="1:8" ht="24.75" customHeight="1">
      <c r="A18" s="107" t="s">
        <v>142</v>
      </c>
      <c r="B18" s="105"/>
      <c r="C18" s="105"/>
      <c r="D18" s="105"/>
      <c r="E18" s="105"/>
      <c r="F18" s="105"/>
      <c r="G18" s="105"/>
      <c r="H18" s="106"/>
    </row>
    <row r="19" spans="1:8" ht="24.75" customHeight="1">
      <c r="A19" s="108"/>
      <c r="B19" s="109"/>
      <c r="C19" s="109"/>
      <c r="D19" s="109"/>
      <c r="E19" s="109"/>
      <c r="F19" s="109"/>
      <c r="G19" s="109"/>
      <c r="H19" s="110"/>
    </row>
    <row r="20" spans="1:8" ht="19.5" customHeight="1">
      <c r="A20" s="119" t="s">
        <v>143</v>
      </c>
      <c r="B20" s="105"/>
      <c r="C20" s="105"/>
      <c r="D20" s="105"/>
      <c r="E20" s="105"/>
      <c r="F20" s="105"/>
      <c r="G20" s="105"/>
      <c r="H20" s="106"/>
    </row>
    <row r="21" spans="1:8" ht="19.5" customHeight="1">
      <c r="A21" s="107" t="s">
        <v>144</v>
      </c>
      <c r="B21" s="105"/>
      <c r="C21" s="105"/>
      <c r="D21" s="105"/>
      <c r="E21" s="105"/>
      <c r="F21" s="105"/>
      <c r="G21" s="105"/>
      <c r="H21" s="106"/>
    </row>
    <row r="22" spans="1:8" ht="19.5" customHeight="1">
      <c r="A22" s="107" t="s">
        <v>145</v>
      </c>
      <c r="B22" s="105"/>
      <c r="C22" s="105"/>
      <c r="D22" s="105"/>
      <c r="E22" s="105"/>
      <c r="F22" s="105"/>
      <c r="G22" s="105"/>
      <c r="H22" s="106"/>
    </row>
    <row r="23" spans="1:8" ht="19.5" customHeight="1">
      <c r="A23" s="107" t="s">
        <v>146</v>
      </c>
      <c r="B23" s="105"/>
      <c r="C23" s="105"/>
      <c r="D23" s="105"/>
      <c r="E23" s="105"/>
      <c r="F23" s="105"/>
      <c r="G23" s="105"/>
      <c r="H23" s="106"/>
    </row>
    <row r="24" spans="1:8" ht="19.5" customHeight="1">
      <c r="A24" s="107"/>
      <c r="B24" s="105"/>
      <c r="C24" s="105"/>
      <c r="D24" s="105"/>
      <c r="E24" s="105"/>
      <c r="F24" s="105"/>
      <c r="G24" s="105"/>
      <c r="H24" s="106"/>
    </row>
    <row r="25" spans="1:8" ht="19.5" customHeight="1">
      <c r="A25" s="108"/>
      <c r="B25" s="109"/>
      <c r="C25" s="109"/>
      <c r="D25" s="109"/>
      <c r="E25" s="109"/>
      <c r="F25" s="109"/>
      <c r="G25" s="109"/>
      <c r="H25" s="110"/>
    </row>
    <row r="26" spans="1:8" ht="27" customHeight="1">
      <c r="A26" s="120" t="s">
        <v>147</v>
      </c>
      <c r="B26" s="116"/>
      <c r="C26" s="121"/>
      <c r="D26" s="117"/>
      <c r="E26" s="122"/>
      <c r="F26" s="123" t="s">
        <v>148</v>
      </c>
      <c r="G26" s="123" t="s">
        <v>149</v>
      </c>
      <c r="H26" s="124" t="s">
        <v>150</v>
      </c>
    </row>
    <row r="27" spans="1:8" ht="27" customHeight="1">
      <c r="A27" s="108" t="s">
        <v>151</v>
      </c>
      <c r="B27" s="109"/>
      <c r="C27" s="109"/>
      <c r="D27" s="109"/>
      <c r="E27" s="115"/>
      <c r="F27" s="125" t="s">
        <v>152</v>
      </c>
      <c r="G27" s="125" t="s">
        <v>29</v>
      </c>
      <c r="H27" s="126" t="s">
        <v>153</v>
      </c>
    </row>
    <row r="28" spans="1:8" ht="27" customHeight="1">
      <c r="A28" s="108" t="s">
        <v>154</v>
      </c>
      <c r="B28" s="109"/>
      <c r="C28" s="109"/>
      <c r="D28" s="109"/>
      <c r="E28" s="115"/>
      <c r="F28" s="125" t="s">
        <v>152</v>
      </c>
      <c r="G28" s="125" t="s">
        <v>137</v>
      </c>
      <c r="H28" s="126" t="s">
        <v>155</v>
      </c>
    </row>
    <row r="29" spans="1:8" ht="27" customHeight="1">
      <c r="A29" s="108" t="s">
        <v>156</v>
      </c>
      <c r="B29" s="109"/>
      <c r="C29" s="109"/>
      <c r="D29" s="109"/>
      <c r="E29" s="115"/>
      <c r="F29" s="125" t="s">
        <v>157</v>
      </c>
      <c r="G29" s="125" t="s">
        <v>158</v>
      </c>
      <c r="H29" s="126" t="s">
        <v>159</v>
      </c>
    </row>
    <row r="30" spans="1:8" ht="27" customHeight="1">
      <c r="A30" s="108"/>
      <c r="B30" s="109"/>
      <c r="C30" s="109"/>
      <c r="D30" s="109"/>
      <c r="E30" s="115"/>
      <c r="F30" s="125"/>
      <c r="G30" s="125"/>
      <c r="H30" s="126"/>
    </row>
    <row r="31" spans="1:8" ht="27" customHeight="1">
      <c r="A31" s="108"/>
      <c r="B31" s="109"/>
      <c r="C31" s="109"/>
      <c r="D31" s="109"/>
      <c r="E31" s="115"/>
      <c r="F31" s="125"/>
      <c r="G31" s="125"/>
      <c r="H31" s="126"/>
    </row>
    <row r="32" spans="1:8" ht="27" customHeight="1">
      <c r="A32" s="108"/>
      <c r="B32" s="109"/>
      <c r="C32" s="109"/>
      <c r="D32" s="109"/>
      <c r="E32" s="115"/>
      <c r="F32" s="125"/>
      <c r="G32" s="125"/>
      <c r="H32" s="126"/>
    </row>
    <row r="33" spans="1:8" ht="27" customHeight="1">
      <c r="A33" s="108"/>
      <c r="B33" s="109"/>
      <c r="C33" s="109"/>
      <c r="D33" s="109"/>
      <c r="E33" s="115"/>
      <c r="F33" s="125"/>
      <c r="G33" s="125"/>
      <c r="H33" s="126"/>
    </row>
    <row r="34" spans="1:8" ht="27" customHeight="1">
      <c r="A34" s="108"/>
      <c r="B34" s="109"/>
      <c r="C34" s="109"/>
      <c r="D34" s="109"/>
      <c r="E34" s="115"/>
      <c r="F34" s="125"/>
      <c r="G34" s="125"/>
      <c r="H34" s="126"/>
    </row>
    <row r="35" spans="1:8" ht="27" customHeight="1">
      <c r="A35" s="108"/>
      <c r="B35" s="109"/>
      <c r="C35" s="109"/>
      <c r="D35" s="109"/>
      <c r="E35" s="115"/>
      <c r="F35" s="125"/>
      <c r="G35" s="125"/>
      <c r="H35" s="126"/>
    </row>
    <row r="36" spans="1:8" ht="27" customHeight="1">
      <c r="A36" s="108"/>
      <c r="B36" s="109"/>
      <c r="C36" s="109"/>
      <c r="D36" s="109"/>
      <c r="E36" s="115"/>
      <c r="F36" s="125"/>
      <c r="G36" s="125"/>
      <c r="H36" s="126"/>
    </row>
    <row r="37" spans="1:8" ht="27" customHeight="1">
      <c r="A37" s="108"/>
      <c r="B37" s="109"/>
      <c r="C37" s="109"/>
      <c r="D37" s="109"/>
      <c r="E37" s="115"/>
      <c r="F37" s="125"/>
      <c r="G37" s="125"/>
      <c r="H37" s="126"/>
    </row>
    <row r="38" spans="1:8" ht="27" customHeight="1">
      <c r="A38" s="108"/>
      <c r="B38" s="109"/>
      <c r="C38" s="109"/>
      <c r="D38" s="109"/>
      <c r="E38" s="115"/>
      <c r="F38" s="125"/>
      <c r="G38" s="125"/>
      <c r="H38" s="126"/>
    </row>
    <row r="39" spans="1:8" ht="27" customHeight="1" thickBot="1">
      <c r="A39" s="108"/>
      <c r="B39" s="109"/>
      <c r="C39" s="109"/>
      <c r="D39" s="109"/>
      <c r="E39" s="115"/>
      <c r="F39" s="127"/>
      <c r="G39" s="127"/>
      <c r="H39" s="128"/>
    </row>
    <row r="40" spans="1:8" ht="18.75" customHeight="1">
      <c r="A40" s="160" t="s">
        <v>226</v>
      </c>
      <c r="B40" s="129" t="s">
        <v>46</v>
      </c>
      <c r="C40" s="130"/>
      <c r="D40" s="130"/>
      <c r="E40" s="158" t="s">
        <v>160</v>
      </c>
      <c r="F40" s="129"/>
      <c r="G40" s="130" t="s">
        <v>85</v>
      </c>
      <c r="H40" s="131"/>
    </row>
    <row r="41" spans="1:8" ht="18.75" customHeight="1" thickBot="1">
      <c r="A41" s="161" t="s">
        <v>227</v>
      </c>
      <c r="B41" s="156">
        <v>46307</v>
      </c>
      <c r="C41" s="156"/>
      <c r="D41" s="133"/>
      <c r="E41" s="159" t="s">
        <v>161</v>
      </c>
      <c r="F41" s="132"/>
      <c r="G41" s="156">
        <v>46338</v>
      </c>
      <c r="H41" s="157"/>
    </row>
  </sheetData>
  <mergeCells count="4">
    <mergeCell ref="E6:H6"/>
    <mergeCell ref="A9:H13"/>
    <mergeCell ref="G41:H41"/>
    <mergeCell ref="B41:C41"/>
  </mergeCells>
  <printOptions horizontalCentered="1" verticalCentered="1"/>
  <pageMargins left="0.196527777777778" right="0" top="0" bottom="0" header="0.511811023622047" footer="0.511811023622047"/>
  <pageSetup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H41"/>
  <sheetViews>
    <sheetView topLeftCell="A32" zoomScaleNormal="100" workbookViewId="0">
      <selection activeCell="C51" sqref="C51"/>
    </sheetView>
  </sheetViews>
  <sheetFormatPr baseColWidth="10" defaultColWidth="11.5546875" defaultRowHeight="13.2"/>
  <cols>
    <col min="1" max="1" width="26.21875" style="82" customWidth="1"/>
    <col min="2" max="8" width="10.77734375" style="82" customWidth="1"/>
    <col min="9" max="256" width="11.5546875" style="82"/>
    <col min="257" max="257" width="23.44140625" style="82" customWidth="1"/>
    <col min="258" max="264" width="10.77734375" style="82" customWidth="1"/>
    <col min="265" max="512" width="11.5546875" style="82"/>
    <col min="513" max="513" width="23.44140625" style="82" customWidth="1"/>
    <col min="514" max="520" width="10.77734375" style="82" customWidth="1"/>
    <col min="521" max="768" width="11.5546875" style="82"/>
    <col min="769" max="769" width="23.44140625" style="82" customWidth="1"/>
    <col min="770" max="776" width="10.77734375" style="82" customWidth="1"/>
    <col min="777" max="1024" width="11.5546875" style="82"/>
    <col min="1025" max="1025" width="23.44140625" style="82" customWidth="1"/>
    <col min="1026" max="1032" width="10.77734375" style="82" customWidth="1"/>
    <col min="1033" max="1280" width="11.5546875" style="82"/>
    <col min="1281" max="1281" width="23.44140625" style="82" customWidth="1"/>
    <col min="1282" max="1288" width="10.77734375" style="82" customWidth="1"/>
    <col min="1289" max="1536" width="11.5546875" style="82"/>
    <col min="1537" max="1537" width="23.44140625" style="82" customWidth="1"/>
    <col min="1538" max="1544" width="10.77734375" style="82" customWidth="1"/>
    <col min="1545" max="1792" width="11.5546875" style="82"/>
    <col min="1793" max="1793" width="23.44140625" style="82" customWidth="1"/>
    <col min="1794" max="1800" width="10.77734375" style="82" customWidth="1"/>
    <col min="1801" max="2048" width="11.5546875" style="82"/>
    <col min="2049" max="2049" width="23.44140625" style="82" customWidth="1"/>
    <col min="2050" max="2056" width="10.77734375" style="82" customWidth="1"/>
    <col min="2057" max="2304" width="11.5546875" style="82"/>
    <col min="2305" max="2305" width="23.44140625" style="82" customWidth="1"/>
    <col min="2306" max="2312" width="10.77734375" style="82" customWidth="1"/>
    <col min="2313" max="2560" width="11.5546875" style="82"/>
    <col min="2561" max="2561" width="23.44140625" style="82" customWidth="1"/>
    <col min="2562" max="2568" width="10.77734375" style="82" customWidth="1"/>
    <col min="2569" max="2816" width="11.5546875" style="82"/>
    <col min="2817" max="2817" width="23.44140625" style="82" customWidth="1"/>
    <col min="2818" max="2824" width="10.77734375" style="82" customWidth="1"/>
    <col min="2825" max="3072" width="11.5546875" style="82"/>
    <col min="3073" max="3073" width="23.44140625" style="82" customWidth="1"/>
    <col min="3074" max="3080" width="10.77734375" style="82" customWidth="1"/>
    <col min="3081" max="3328" width="11.5546875" style="82"/>
    <col min="3329" max="3329" width="23.44140625" style="82" customWidth="1"/>
    <col min="3330" max="3336" width="10.77734375" style="82" customWidth="1"/>
    <col min="3337" max="3584" width="11.5546875" style="82"/>
    <col min="3585" max="3585" width="23.44140625" style="82" customWidth="1"/>
    <col min="3586" max="3592" width="10.77734375" style="82" customWidth="1"/>
    <col min="3593" max="3840" width="11.5546875" style="82"/>
    <col min="3841" max="3841" width="23.44140625" style="82" customWidth="1"/>
    <col min="3842" max="3848" width="10.77734375" style="82" customWidth="1"/>
    <col min="3849" max="4096" width="11.5546875" style="82"/>
    <col min="4097" max="4097" width="23.44140625" style="82" customWidth="1"/>
    <col min="4098" max="4104" width="10.77734375" style="82" customWidth="1"/>
    <col min="4105" max="4352" width="11.5546875" style="82"/>
    <col min="4353" max="4353" width="23.44140625" style="82" customWidth="1"/>
    <col min="4354" max="4360" width="10.77734375" style="82" customWidth="1"/>
    <col min="4361" max="4608" width="11.5546875" style="82"/>
    <col min="4609" max="4609" width="23.44140625" style="82" customWidth="1"/>
    <col min="4610" max="4616" width="10.77734375" style="82" customWidth="1"/>
    <col min="4617" max="4864" width="11.5546875" style="82"/>
    <col min="4865" max="4865" width="23.44140625" style="82" customWidth="1"/>
    <col min="4866" max="4872" width="10.77734375" style="82" customWidth="1"/>
    <col min="4873" max="5120" width="11.5546875" style="82"/>
    <col min="5121" max="5121" width="23.44140625" style="82" customWidth="1"/>
    <col min="5122" max="5128" width="10.77734375" style="82" customWidth="1"/>
    <col min="5129" max="5376" width="11.5546875" style="82"/>
    <col min="5377" max="5377" width="23.44140625" style="82" customWidth="1"/>
    <col min="5378" max="5384" width="10.77734375" style="82" customWidth="1"/>
    <col min="5385" max="5632" width="11.5546875" style="82"/>
    <col min="5633" max="5633" width="23.44140625" style="82" customWidth="1"/>
    <col min="5634" max="5640" width="10.77734375" style="82" customWidth="1"/>
    <col min="5641" max="5888" width="11.5546875" style="82"/>
    <col min="5889" max="5889" width="23.44140625" style="82" customWidth="1"/>
    <col min="5890" max="5896" width="10.77734375" style="82" customWidth="1"/>
    <col min="5897" max="6144" width="11.5546875" style="82"/>
    <col min="6145" max="6145" width="23.44140625" style="82" customWidth="1"/>
    <col min="6146" max="6152" width="10.77734375" style="82" customWidth="1"/>
    <col min="6153" max="6400" width="11.5546875" style="82"/>
    <col min="6401" max="6401" width="23.44140625" style="82" customWidth="1"/>
    <col min="6402" max="6408" width="10.77734375" style="82" customWidth="1"/>
    <col min="6409" max="6656" width="11.5546875" style="82"/>
    <col min="6657" max="6657" width="23.44140625" style="82" customWidth="1"/>
    <col min="6658" max="6664" width="10.77734375" style="82" customWidth="1"/>
    <col min="6665" max="6912" width="11.5546875" style="82"/>
    <col min="6913" max="6913" width="23.44140625" style="82" customWidth="1"/>
    <col min="6914" max="6920" width="10.77734375" style="82" customWidth="1"/>
    <col min="6921" max="7168" width="11.5546875" style="82"/>
    <col min="7169" max="7169" width="23.44140625" style="82" customWidth="1"/>
    <col min="7170" max="7176" width="10.77734375" style="82" customWidth="1"/>
    <col min="7177" max="7424" width="11.5546875" style="82"/>
    <col min="7425" max="7425" width="23.44140625" style="82" customWidth="1"/>
    <col min="7426" max="7432" width="10.77734375" style="82" customWidth="1"/>
    <col min="7433" max="7680" width="11.5546875" style="82"/>
    <col min="7681" max="7681" width="23.44140625" style="82" customWidth="1"/>
    <col min="7682" max="7688" width="10.77734375" style="82" customWidth="1"/>
    <col min="7689" max="7936" width="11.5546875" style="82"/>
    <col min="7937" max="7937" width="23.44140625" style="82" customWidth="1"/>
    <col min="7938" max="7944" width="10.77734375" style="82" customWidth="1"/>
    <col min="7945" max="8192" width="11.5546875" style="82"/>
    <col min="8193" max="8193" width="23.44140625" style="82" customWidth="1"/>
    <col min="8194" max="8200" width="10.77734375" style="82" customWidth="1"/>
    <col min="8201" max="8448" width="11.5546875" style="82"/>
    <col min="8449" max="8449" width="23.44140625" style="82" customWidth="1"/>
    <col min="8450" max="8456" width="10.77734375" style="82" customWidth="1"/>
    <col min="8457" max="8704" width="11.5546875" style="82"/>
    <col min="8705" max="8705" width="23.44140625" style="82" customWidth="1"/>
    <col min="8706" max="8712" width="10.77734375" style="82" customWidth="1"/>
    <col min="8713" max="8960" width="11.5546875" style="82"/>
    <col min="8961" max="8961" width="23.44140625" style="82" customWidth="1"/>
    <col min="8962" max="8968" width="10.77734375" style="82" customWidth="1"/>
    <col min="8969" max="9216" width="11.5546875" style="82"/>
    <col min="9217" max="9217" width="23.44140625" style="82" customWidth="1"/>
    <col min="9218" max="9224" width="10.77734375" style="82" customWidth="1"/>
    <col min="9225" max="9472" width="11.5546875" style="82"/>
    <col min="9473" max="9473" width="23.44140625" style="82" customWidth="1"/>
    <col min="9474" max="9480" width="10.77734375" style="82" customWidth="1"/>
    <col min="9481" max="9728" width="11.5546875" style="82"/>
    <col min="9729" max="9729" width="23.44140625" style="82" customWidth="1"/>
    <col min="9730" max="9736" width="10.77734375" style="82" customWidth="1"/>
    <col min="9737" max="9984" width="11.5546875" style="82"/>
    <col min="9985" max="9985" width="23.44140625" style="82" customWidth="1"/>
    <col min="9986" max="9992" width="10.77734375" style="82" customWidth="1"/>
    <col min="9993" max="10240" width="11.5546875" style="82"/>
    <col min="10241" max="10241" width="23.44140625" style="82" customWidth="1"/>
    <col min="10242" max="10248" width="10.77734375" style="82" customWidth="1"/>
    <col min="10249" max="10496" width="11.5546875" style="82"/>
    <col min="10497" max="10497" width="23.44140625" style="82" customWidth="1"/>
    <col min="10498" max="10504" width="10.77734375" style="82" customWidth="1"/>
    <col min="10505" max="10752" width="11.5546875" style="82"/>
    <col min="10753" max="10753" width="23.44140625" style="82" customWidth="1"/>
    <col min="10754" max="10760" width="10.77734375" style="82" customWidth="1"/>
    <col min="10761" max="11008" width="11.5546875" style="82"/>
    <col min="11009" max="11009" width="23.44140625" style="82" customWidth="1"/>
    <col min="11010" max="11016" width="10.77734375" style="82" customWidth="1"/>
    <col min="11017" max="11264" width="11.5546875" style="82"/>
    <col min="11265" max="11265" width="23.44140625" style="82" customWidth="1"/>
    <col min="11266" max="11272" width="10.77734375" style="82" customWidth="1"/>
    <col min="11273" max="11520" width="11.5546875" style="82"/>
    <col min="11521" max="11521" width="23.44140625" style="82" customWidth="1"/>
    <col min="11522" max="11528" width="10.77734375" style="82" customWidth="1"/>
    <col min="11529" max="11776" width="11.5546875" style="82"/>
    <col min="11777" max="11777" width="23.44140625" style="82" customWidth="1"/>
    <col min="11778" max="11784" width="10.77734375" style="82" customWidth="1"/>
    <col min="11785" max="12032" width="11.5546875" style="82"/>
    <col min="12033" max="12033" width="23.44140625" style="82" customWidth="1"/>
    <col min="12034" max="12040" width="10.77734375" style="82" customWidth="1"/>
    <col min="12041" max="12288" width="11.5546875" style="82"/>
    <col min="12289" max="12289" width="23.44140625" style="82" customWidth="1"/>
    <col min="12290" max="12296" width="10.77734375" style="82" customWidth="1"/>
    <col min="12297" max="12544" width="11.5546875" style="82"/>
    <col min="12545" max="12545" width="23.44140625" style="82" customWidth="1"/>
    <col min="12546" max="12552" width="10.77734375" style="82" customWidth="1"/>
    <col min="12553" max="12800" width="11.5546875" style="82"/>
    <col min="12801" max="12801" width="23.44140625" style="82" customWidth="1"/>
    <col min="12802" max="12808" width="10.77734375" style="82" customWidth="1"/>
    <col min="12809" max="13056" width="11.5546875" style="82"/>
    <col min="13057" max="13057" width="23.44140625" style="82" customWidth="1"/>
    <col min="13058" max="13064" width="10.77734375" style="82" customWidth="1"/>
    <col min="13065" max="13312" width="11.5546875" style="82"/>
    <col min="13313" max="13313" width="23.44140625" style="82" customWidth="1"/>
    <col min="13314" max="13320" width="10.77734375" style="82" customWidth="1"/>
    <col min="13321" max="13568" width="11.5546875" style="82"/>
    <col min="13569" max="13569" width="23.44140625" style="82" customWidth="1"/>
    <col min="13570" max="13576" width="10.77734375" style="82" customWidth="1"/>
    <col min="13577" max="13824" width="11.5546875" style="82"/>
    <col min="13825" max="13825" width="23.44140625" style="82" customWidth="1"/>
    <col min="13826" max="13832" width="10.77734375" style="82" customWidth="1"/>
    <col min="13833" max="14080" width="11.5546875" style="82"/>
    <col min="14081" max="14081" width="23.44140625" style="82" customWidth="1"/>
    <col min="14082" max="14088" width="10.77734375" style="82" customWidth="1"/>
    <col min="14089" max="14336" width="11.5546875" style="82"/>
    <col min="14337" max="14337" width="23.44140625" style="82" customWidth="1"/>
    <col min="14338" max="14344" width="10.77734375" style="82" customWidth="1"/>
    <col min="14345" max="14592" width="11.5546875" style="82"/>
    <col min="14593" max="14593" width="23.44140625" style="82" customWidth="1"/>
    <col min="14594" max="14600" width="10.77734375" style="82" customWidth="1"/>
    <col min="14601" max="14848" width="11.5546875" style="82"/>
    <col min="14849" max="14849" width="23.44140625" style="82" customWidth="1"/>
    <col min="14850" max="14856" width="10.77734375" style="82" customWidth="1"/>
    <col min="14857" max="15104" width="11.5546875" style="82"/>
    <col min="15105" max="15105" width="23.44140625" style="82" customWidth="1"/>
    <col min="15106" max="15112" width="10.77734375" style="82" customWidth="1"/>
    <col min="15113" max="15360" width="11.5546875" style="82"/>
    <col min="15361" max="15361" width="23.44140625" style="82" customWidth="1"/>
    <col min="15362" max="15368" width="10.77734375" style="82" customWidth="1"/>
    <col min="15369" max="15616" width="11.5546875" style="82"/>
    <col min="15617" max="15617" width="23.44140625" style="82" customWidth="1"/>
    <col min="15618" max="15624" width="10.77734375" style="82" customWidth="1"/>
    <col min="15625" max="15872" width="11.5546875" style="82"/>
    <col min="15873" max="15873" width="23.44140625" style="82" customWidth="1"/>
    <col min="15874" max="15880" width="10.77734375" style="82" customWidth="1"/>
    <col min="15881" max="16128" width="11.5546875" style="82"/>
    <col min="16129" max="16129" width="23.44140625" style="82" customWidth="1"/>
    <col min="16130" max="16136" width="10.77734375" style="82" customWidth="1"/>
    <col min="16137" max="16384" width="11.5546875" style="82"/>
  </cols>
  <sheetData>
    <row r="1" spans="1:8" ht="12" customHeight="1">
      <c r="A1" s="83"/>
      <c r="B1" s="84"/>
      <c r="C1" s="85"/>
      <c r="D1" s="84"/>
      <c r="E1" s="84"/>
      <c r="F1" s="84"/>
      <c r="G1" s="84"/>
      <c r="H1" s="86"/>
    </row>
    <row r="2" spans="1:8" ht="30" customHeight="1">
      <c r="A2" s="87"/>
      <c r="C2" s="88" t="s">
        <v>118</v>
      </c>
      <c r="G2" s="89"/>
      <c r="H2" s="90"/>
    </row>
    <row r="3" spans="1:8" ht="15" customHeight="1">
      <c r="A3" s="91"/>
      <c r="B3" s="92"/>
      <c r="C3" s="93"/>
      <c r="D3" s="94"/>
      <c r="E3" s="94"/>
      <c r="F3" s="94"/>
      <c r="G3" s="94"/>
      <c r="H3" s="95"/>
    </row>
    <row r="4" spans="1:8" s="100" customFormat="1" ht="24.75" customHeight="1">
      <c r="A4" s="96" t="s">
        <v>119</v>
      </c>
      <c r="B4" s="142" t="s">
        <v>120</v>
      </c>
      <c r="C4" s="98"/>
      <c r="D4" s="99"/>
      <c r="E4" s="97" t="s">
        <v>121</v>
      </c>
      <c r="F4" s="98"/>
      <c r="G4" s="98"/>
      <c r="H4" s="143">
        <v>2</v>
      </c>
    </row>
    <row r="5" spans="1:8" s="100" customFormat="1" ht="24.75" customHeight="1">
      <c r="A5" s="96" t="s">
        <v>122</v>
      </c>
      <c r="B5" s="142" t="s">
        <v>46</v>
      </c>
      <c r="C5" s="98"/>
      <c r="D5" s="99"/>
      <c r="E5" s="97" t="s">
        <v>123</v>
      </c>
      <c r="F5" s="98"/>
      <c r="G5" s="98"/>
      <c r="H5" s="143">
        <v>3</v>
      </c>
    </row>
    <row r="6" spans="1:8" s="100" customFormat="1" ht="24.75" customHeight="1">
      <c r="A6" s="96" t="s">
        <v>124</v>
      </c>
      <c r="B6" s="142" t="s">
        <v>125</v>
      </c>
      <c r="C6" s="98"/>
      <c r="D6" s="98"/>
      <c r="E6" s="1" t="s">
        <v>126</v>
      </c>
      <c r="F6" s="1"/>
      <c r="G6" s="1"/>
      <c r="H6" s="1"/>
    </row>
    <row r="7" spans="1:8" s="100" customFormat="1" ht="24" customHeight="1">
      <c r="A7" s="96" t="s">
        <v>127</v>
      </c>
      <c r="B7" s="142" t="s">
        <v>162</v>
      </c>
      <c r="C7" s="98"/>
      <c r="D7" s="101"/>
      <c r="E7" s="93" t="s">
        <v>129</v>
      </c>
      <c r="F7" s="94" t="s">
        <v>130</v>
      </c>
      <c r="G7" s="94" t="s">
        <v>131</v>
      </c>
      <c r="H7" s="102"/>
    </row>
    <row r="8" spans="1:8" ht="18" customHeight="1">
      <c r="A8" s="103" t="s">
        <v>132</v>
      </c>
      <c r="B8" s="104"/>
      <c r="C8" s="105"/>
      <c r="D8" s="105"/>
      <c r="E8" s="105"/>
      <c r="F8" s="105"/>
      <c r="G8" s="105"/>
      <c r="H8" s="106"/>
    </row>
    <row r="9" spans="1:8" ht="15" customHeight="1">
      <c r="A9" s="144" t="s">
        <v>163</v>
      </c>
      <c r="B9" s="145"/>
      <c r="C9" s="145"/>
      <c r="D9" s="145"/>
      <c r="E9" s="145"/>
      <c r="F9" s="145"/>
      <c r="G9" s="145"/>
      <c r="H9" s="146"/>
    </row>
    <row r="10" spans="1:8" ht="15" customHeight="1">
      <c r="A10" s="144"/>
      <c r="B10" s="145"/>
      <c r="C10" s="145"/>
      <c r="D10" s="145"/>
      <c r="E10" s="145"/>
      <c r="F10" s="145"/>
      <c r="G10" s="145"/>
      <c r="H10" s="146"/>
    </row>
    <row r="11" spans="1:8" ht="15" customHeight="1">
      <c r="A11" s="144"/>
      <c r="B11" s="145"/>
      <c r="C11" s="145"/>
      <c r="D11" s="145"/>
      <c r="E11" s="145"/>
      <c r="F11" s="145"/>
      <c r="G11" s="145"/>
      <c r="H11" s="146"/>
    </row>
    <row r="12" spans="1:8" ht="15" customHeight="1">
      <c r="A12" s="144"/>
      <c r="B12" s="145"/>
      <c r="C12" s="145"/>
      <c r="D12" s="145"/>
      <c r="E12" s="145"/>
      <c r="F12" s="145"/>
      <c r="G12" s="145"/>
      <c r="H12" s="146"/>
    </row>
    <row r="13" spans="1:8" ht="15" customHeight="1">
      <c r="A13" s="147"/>
      <c r="B13" s="148"/>
      <c r="C13" s="148"/>
      <c r="D13" s="148"/>
      <c r="E13" s="148"/>
      <c r="F13" s="148"/>
      <c r="G13" s="148"/>
      <c r="H13" s="149"/>
    </row>
    <row r="14" spans="1:8" ht="15" customHeight="1">
      <c r="A14" s="150" t="s">
        <v>134</v>
      </c>
      <c r="B14" s="105"/>
      <c r="C14" s="155" t="s">
        <v>135</v>
      </c>
      <c r="D14" s="111"/>
      <c r="E14" s="112">
        <v>9</v>
      </c>
      <c r="F14" s="151" t="s">
        <v>136</v>
      </c>
      <c r="G14" s="113"/>
      <c r="H14" s="114" t="s">
        <v>103</v>
      </c>
    </row>
    <row r="15" spans="1:8" ht="15" customHeight="1">
      <c r="A15" s="108" t="s">
        <v>164</v>
      </c>
      <c r="B15" s="109"/>
      <c r="C15" s="153" t="s">
        <v>138</v>
      </c>
      <c r="D15" s="109"/>
      <c r="E15" s="115" t="s">
        <v>30</v>
      </c>
      <c r="F15" s="154" t="s">
        <v>139</v>
      </c>
      <c r="G15" s="117"/>
      <c r="H15" s="118" t="s">
        <v>30</v>
      </c>
    </row>
    <row r="16" spans="1:8" ht="24.75" customHeight="1">
      <c r="A16" s="119" t="s">
        <v>140</v>
      </c>
      <c r="B16" s="105"/>
      <c r="C16" s="105"/>
      <c r="D16" s="105"/>
      <c r="E16" s="105"/>
      <c r="F16" s="105"/>
      <c r="G16" s="105"/>
      <c r="H16" s="106"/>
    </row>
    <row r="17" spans="1:8" ht="24.75" customHeight="1">
      <c r="A17" s="107" t="s">
        <v>165</v>
      </c>
      <c r="B17" s="105"/>
      <c r="C17" s="105"/>
      <c r="D17" s="105"/>
      <c r="E17" s="105"/>
      <c r="F17" s="105"/>
      <c r="G17" s="105"/>
      <c r="H17" s="106"/>
    </row>
    <row r="18" spans="1:8" ht="24.75" customHeight="1">
      <c r="A18" s="107" t="s">
        <v>166</v>
      </c>
      <c r="B18" s="105"/>
      <c r="C18" s="105"/>
      <c r="D18" s="105"/>
      <c r="E18" s="105"/>
      <c r="F18" s="105"/>
      <c r="G18" s="105"/>
      <c r="H18" s="106"/>
    </row>
    <row r="19" spans="1:8" ht="24.75" customHeight="1">
      <c r="A19" s="108"/>
      <c r="B19" s="109"/>
      <c r="C19" s="109"/>
      <c r="D19" s="109"/>
      <c r="E19" s="109"/>
      <c r="F19" s="109"/>
      <c r="G19" s="109"/>
      <c r="H19" s="110"/>
    </row>
    <row r="20" spans="1:8" ht="19.5" customHeight="1">
      <c r="A20" s="119" t="s">
        <v>143</v>
      </c>
      <c r="B20" s="105"/>
      <c r="C20" s="105"/>
      <c r="D20" s="105"/>
      <c r="E20" s="105"/>
      <c r="F20" s="105"/>
      <c r="G20" s="105"/>
      <c r="H20" s="106"/>
    </row>
    <row r="21" spans="1:8" ht="19.5" customHeight="1">
      <c r="A21" s="107" t="s">
        <v>167</v>
      </c>
      <c r="B21" s="105"/>
      <c r="C21" s="105"/>
      <c r="D21" s="105"/>
      <c r="E21" s="105"/>
      <c r="F21" s="105"/>
      <c r="G21" s="105"/>
      <c r="H21" s="106"/>
    </row>
    <row r="22" spans="1:8" ht="19.5" customHeight="1">
      <c r="A22" s="107" t="s">
        <v>168</v>
      </c>
      <c r="B22" s="105"/>
      <c r="C22" s="105"/>
      <c r="D22" s="105"/>
      <c r="E22" s="105"/>
      <c r="F22" s="105"/>
      <c r="G22" s="105"/>
      <c r="H22" s="106"/>
    </row>
    <row r="23" spans="1:8" ht="19.5" customHeight="1">
      <c r="A23" s="107" t="s">
        <v>169</v>
      </c>
      <c r="B23" s="105"/>
      <c r="C23" s="105"/>
      <c r="D23" s="105"/>
      <c r="E23" s="105"/>
      <c r="F23" s="105"/>
      <c r="G23" s="105"/>
      <c r="H23" s="106"/>
    </row>
    <row r="24" spans="1:8" ht="19.5" customHeight="1">
      <c r="A24" s="107"/>
      <c r="B24" s="105"/>
      <c r="C24" s="105"/>
      <c r="D24" s="105"/>
      <c r="E24" s="105"/>
      <c r="F24" s="105"/>
      <c r="G24" s="105"/>
      <c r="H24" s="106"/>
    </row>
    <row r="25" spans="1:8" ht="19.5" customHeight="1">
      <c r="A25" s="108"/>
      <c r="B25" s="109"/>
      <c r="C25" s="109"/>
      <c r="D25" s="109"/>
      <c r="E25" s="109"/>
      <c r="F25" s="109"/>
      <c r="G25" s="109"/>
      <c r="H25" s="110"/>
    </row>
    <row r="26" spans="1:8" ht="27" customHeight="1">
      <c r="A26" s="120" t="s">
        <v>147</v>
      </c>
      <c r="B26" s="116"/>
      <c r="C26" s="121"/>
      <c r="D26" s="117"/>
      <c r="E26" s="122"/>
      <c r="F26" s="123" t="s">
        <v>148</v>
      </c>
      <c r="G26" s="123" t="s">
        <v>149</v>
      </c>
      <c r="H26" s="124" t="s">
        <v>150</v>
      </c>
    </row>
    <row r="27" spans="1:8" ht="27" customHeight="1">
      <c r="A27" s="108" t="s">
        <v>170</v>
      </c>
      <c r="B27" s="109"/>
      <c r="C27" s="109"/>
      <c r="D27" s="109"/>
      <c r="E27" s="115"/>
      <c r="F27" s="125" t="s">
        <v>152</v>
      </c>
      <c r="G27" s="125" t="s">
        <v>164</v>
      </c>
      <c r="H27" s="126" t="s">
        <v>153</v>
      </c>
    </row>
    <row r="28" spans="1:8" ht="27" customHeight="1">
      <c r="A28" s="108" t="s">
        <v>171</v>
      </c>
      <c r="B28" s="109"/>
      <c r="C28" s="109"/>
      <c r="D28" s="109"/>
      <c r="E28" s="115"/>
      <c r="F28" s="125" t="s">
        <v>85</v>
      </c>
      <c r="G28" s="125" t="s">
        <v>164</v>
      </c>
      <c r="H28" s="126" t="s">
        <v>172</v>
      </c>
    </row>
    <row r="29" spans="1:8" ht="27" customHeight="1">
      <c r="A29" s="108" t="s">
        <v>173</v>
      </c>
      <c r="B29" s="109"/>
      <c r="C29" s="109"/>
      <c r="D29" s="109"/>
      <c r="E29" s="115"/>
      <c r="F29" s="125" t="s">
        <v>152</v>
      </c>
      <c r="G29" s="125" t="s">
        <v>164</v>
      </c>
      <c r="H29" s="126" t="s">
        <v>172</v>
      </c>
    </row>
    <row r="30" spans="1:8" ht="27" customHeight="1">
      <c r="A30" s="108"/>
      <c r="B30" s="109"/>
      <c r="C30" s="109"/>
      <c r="D30" s="109"/>
      <c r="E30" s="115"/>
      <c r="F30" s="125"/>
      <c r="G30" s="125"/>
      <c r="H30" s="126"/>
    </row>
    <row r="31" spans="1:8" ht="27" customHeight="1">
      <c r="A31" s="108"/>
      <c r="B31" s="109"/>
      <c r="C31" s="109"/>
      <c r="D31" s="109"/>
      <c r="E31" s="115"/>
      <c r="F31" s="125"/>
      <c r="G31" s="125"/>
      <c r="H31" s="126"/>
    </row>
    <row r="32" spans="1:8" ht="27" customHeight="1">
      <c r="A32" s="108"/>
      <c r="B32" s="109"/>
      <c r="C32" s="109"/>
      <c r="D32" s="109"/>
      <c r="E32" s="115"/>
      <c r="F32" s="125"/>
      <c r="G32" s="125"/>
      <c r="H32" s="126"/>
    </row>
    <row r="33" spans="1:8" ht="27" customHeight="1">
      <c r="A33" s="108"/>
      <c r="B33" s="109"/>
      <c r="C33" s="109"/>
      <c r="D33" s="109"/>
      <c r="E33" s="115"/>
      <c r="F33" s="125"/>
      <c r="G33" s="125"/>
      <c r="H33" s="126"/>
    </row>
    <row r="34" spans="1:8" ht="27" customHeight="1">
      <c r="A34" s="108"/>
      <c r="B34" s="109"/>
      <c r="C34" s="109"/>
      <c r="D34" s="109"/>
      <c r="E34" s="115"/>
      <c r="F34" s="125"/>
      <c r="G34" s="125"/>
      <c r="H34" s="126"/>
    </row>
    <row r="35" spans="1:8" ht="27" customHeight="1">
      <c r="A35" s="108"/>
      <c r="B35" s="109"/>
      <c r="C35" s="109"/>
      <c r="D35" s="109"/>
      <c r="E35" s="115"/>
      <c r="F35" s="125"/>
      <c r="G35" s="125"/>
      <c r="H35" s="126"/>
    </row>
    <row r="36" spans="1:8" ht="27" customHeight="1">
      <c r="A36" s="108"/>
      <c r="B36" s="109"/>
      <c r="C36" s="109"/>
      <c r="D36" s="109"/>
      <c r="E36" s="115"/>
      <c r="F36" s="125"/>
      <c r="G36" s="125"/>
      <c r="H36" s="126"/>
    </row>
    <row r="37" spans="1:8" ht="27" customHeight="1">
      <c r="A37" s="108"/>
      <c r="B37" s="109"/>
      <c r="C37" s="109"/>
      <c r="D37" s="109"/>
      <c r="E37" s="115"/>
      <c r="F37" s="125"/>
      <c r="G37" s="125"/>
      <c r="H37" s="126"/>
    </row>
    <row r="38" spans="1:8" ht="27" customHeight="1">
      <c r="A38" s="108"/>
      <c r="B38" s="109"/>
      <c r="C38" s="109"/>
      <c r="D38" s="109"/>
      <c r="E38" s="115"/>
      <c r="F38" s="125"/>
      <c r="G38" s="125"/>
      <c r="H38" s="126"/>
    </row>
    <row r="39" spans="1:8" ht="27" customHeight="1">
      <c r="A39" s="108"/>
      <c r="B39" s="109"/>
      <c r="C39" s="109"/>
      <c r="D39" s="109"/>
      <c r="E39" s="115"/>
      <c r="F39" s="127"/>
      <c r="G39" s="127"/>
      <c r="H39" s="128"/>
    </row>
    <row r="40" spans="1:8" ht="18.75" customHeight="1">
      <c r="A40" s="160" t="s">
        <v>228</v>
      </c>
      <c r="B40" s="129" t="s">
        <v>229</v>
      </c>
      <c r="C40" s="130"/>
      <c r="D40" s="130"/>
      <c r="E40" s="158" t="s">
        <v>160</v>
      </c>
      <c r="F40" s="129"/>
      <c r="G40" s="130" t="s">
        <v>85</v>
      </c>
      <c r="H40" s="131"/>
    </row>
    <row r="41" spans="1:8" ht="18.75" customHeight="1" thickBot="1">
      <c r="A41" s="161" t="s">
        <v>161</v>
      </c>
      <c r="B41" s="156">
        <v>46307</v>
      </c>
      <c r="C41" s="156"/>
      <c r="D41" s="133"/>
      <c r="E41" s="159" t="s">
        <v>161</v>
      </c>
      <c r="F41" s="132"/>
      <c r="G41" s="156">
        <v>46308</v>
      </c>
      <c r="H41" s="156"/>
    </row>
  </sheetData>
  <mergeCells count="4">
    <mergeCell ref="E6:H6"/>
    <mergeCell ref="A9:H13"/>
    <mergeCell ref="B41:C41"/>
    <mergeCell ref="G41:H41"/>
  </mergeCells>
  <printOptions horizontalCentered="1" verticalCentered="1"/>
  <pageMargins left="0.196527777777778" right="0" top="0" bottom="0"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41"/>
  <sheetViews>
    <sheetView topLeftCell="A38" zoomScaleNormal="100" workbookViewId="0">
      <selection activeCell="B41" sqref="B41:C41"/>
    </sheetView>
  </sheetViews>
  <sheetFormatPr baseColWidth="10" defaultColWidth="11.5546875" defaultRowHeight="13.2"/>
  <cols>
    <col min="1" max="1" width="26.21875" style="82" customWidth="1"/>
    <col min="2" max="8" width="10.77734375" style="82" customWidth="1"/>
    <col min="9" max="256" width="11.5546875" style="82"/>
    <col min="257" max="257" width="23.44140625" style="82" customWidth="1"/>
    <col min="258" max="264" width="10.77734375" style="82" customWidth="1"/>
    <col min="265" max="512" width="11.5546875" style="82"/>
    <col min="513" max="513" width="23.44140625" style="82" customWidth="1"/>
    <col min="514" max="520" width="10.77734375" style="82" customWidth="1"/>
    <col min="521" max="768" width="11.5546875" style="82"/>
    <col min="769" max="769" width="23.44140625" style="82" customWidth="1"/>
    <col min="770" max="776" width="10.77734375" style="82" customWidth="1"/>
    <col min="777" max="1024" width="11.5546875" style="82"/>
    <col min="1025" max="1025" width="23.44140625" style="82" customWidth="1"/>
    <col min="1026" max="1032" width="10.77734375" style="82" customWidth="1"/>
    <col min="1033" max="1280" width="11.5546875" style="82"/>
    <col min="1281" max="1281" width="23.44140625" style="82" customWidth="1"/>
    <col min="1282" max="1288" width="10.77734375" style="82" customWidth="1"/>
    <col min="1289" max="1536" width="11.5546875" style="82"/>
    <col min="1537" max="1537" width="23.44140625" style="82" customWidth="1"/>
    <col min="1538" max="1544" width="10.77734375" style="82" customWidth="1"/>
    <col min="1545" max="1792" width="11.5546875" style="82"/>
    <col min="1793" max="1793" width="23.44140625" style="82" customWidth="1"/>
    <col min="1794" max="1800" width="10.77734375" style="82" customWidth="1"/>
    <col min="1801" max="2048" width="11.5546875" style="82"/>
    <col min="2049" max="2049" width="23.44140625" style="82" customWidth="1"/>
    <col min="2050" max="2056" width="10.77734375" style="82" customWidth="1"/>
    <col min="2057" max="2304" width="11.5546875" style="82"/>
    <col min="2305" max="2305" width="23.44140625" style="82" customWidth="1"/>
    <col min="2306" max="2312" width="10.77734375" style="82" customWidth="1"/>
    <col min="2313" max="2560" width="11.5546875" style="82"/>
    <col min="2561" max="2561" width="23.44140625" style="82" customWidth="1"/>
    <col min="2562" max="2568" width="10.77734375" style="82" customWidth="1"/>
    <col min="2569" max="2816" width="11.5546875" style="82"/>
    <col min="2817" max="2817" width="23.44140625" style="82" customWidth="1"/>
    <col min="2818" max="2824" width="10.77734375" style="82" customWidth="1"/>
    <col min="2825" max="3072" width="11.5546875" style="82"/>
    <col min="3073" max="3073" width="23.44140625" style="82" customWidth="1"/>
    <col min="3074" max="3080" width="10.77734375" style="82" customWidth="1"/>
    <col min="3081" max="3328" width="11.5546875" style="82"/>
    <col min="3329" max="3329" width="23.44140625" style="82" customWidth="1"/>
    <col min="3330" max="3336" width="10.77734375" style="82" customWidth="1"/>
    <col min="3337" max="3584" width="11.5546875" style="82"/>
    <col min="3585" max="3585" width="23.44140625" style="82" customWidth="1"/>
    <col min="3586" max="3592" width="10.77734375" style="82" customWidth="1"/>
    <col min="3593" max="3840" width="11.5546875" style="82"/>
    <col min="3841" max="3841" width="23.44140625" style="82" customWidth="1"/>
    <col min="3842" max="3848" width="10.77734375" style="82" customWidth="1"/>
    <col min="3849" max="4096" width="11.5546875" style="82"/>
    <col min="4097" max="4097" width="23.44140625" style="82" customWidth="1"/>
    <col min="4098" max="4104" width="10.77734375" style="82" customWidth="1"/>
    <col min="4105" max="4352" width="11.5546875" style="82"/>
    <col min="4353" max="4353" width="23.44140625" style="82" customWidth="1"/>
    <col min="4354" max="4360" width="10.77734375" style="82" customWidth="1"/>
    <col min="4361" max="4608" width="11.5546875" style="82"/>
    <col min="4609" max="4609" width="23.44140625" style="82" customWidth="1"/>
    <col min="4610" max="4616" width="10.77734375" style="82" customWidth="1"/>
    <col min="4617" max="4864" width="11.5546875" style="82"/>
    <col min="4865" max="4865" width="23.44140625" style="82" customWidth="1"/>
    <col min="4866" max="4872" width="10.77734375" style="82" customWidth="1"/>
    <col min="4873" max="5120" width="11.5546875" style="82"/>
    <col min="5121" max="5121" width="23.44140625" style="82" customWidth="1"/>
    <col min="5122" max="5128" width="10.77734375" style="82" customWidth="1"/>
    <col min="5129" max="5376" width="11.5546875" style="82"/>
    <col min="5377" max="5377" width="23.44140625" style="82" customWidth="1"/>
    <col min="5378" max="5384" width="10.77734375" style="82" customWidth="1"/>
    <col min="5385" max="5632" width="11.5546875" style="82"/>
    <col min="5633" max="5633" width="23.44140625" style="82" customWidth="1"/>
    <col min="5634" max="5640" width="10.77734375" style="82" customWidth="1"/>
    <col min="5641" max="5888" width="11.5546875" style="82"/>
    <col min="5889" max="5889" width="23.44140625" style="82" customWidth="1"/>
    <col min="5890" max="5896" width="10.77734375" style="82" customWidth="1"/>
    <col min="5897" max="6144" width="11.5546875" style="82"/>
    <col min="6145" max="6145" width="23.44140625" style="82" customWidth="1"/>
    <col min="6146" max="6152" width="10.77734375" style="82" customWidth="1"/>
    <col min="6153" max="6400" width="11.5546875" style="82"/>
    <col min="6401" max="6401" width="23.44140625" style="82" customWidth="1"/>
    <col min="6402" max="6408" width="10.77734375" style="82" customWidth="1"/>
    <col min="6409" max="6656" width="11.5546875" style="82"/>
    <col min="6657" max="6657" width="23.44140625" style="82" customWidth="1"/>
    <col min="6658" max="6664" width="10.77734375" style="82" customWidth="1"/>
    <col min="6665" max="6912" width="11.5546875" style="82"/>
    <col min="6913" max="6913" width="23.44140625" style="82" customWidth="1"/>
    <col min="6914" max="6920" width="10.77734375" style="82" customWidth="1"/>
    <col min="6921" max="7168" width="11.5546875" style="82"/>
    <col min="7169" max="7169" width="23.44140625" style="82" customWidth="1"/>
    <col min="7170" max="7176" width="10.77734375" style="82" customWidth="1"/>
    <col min="7177" max="7424" width="11.5546875" style="82"/>
    <col min="7425" max="7425" width="23.44140625" style="82" customWidth="1"/>
    <col min="7426" max="7432" width="10.77734375" style="82" customWidth="1"/>
    <col min="7433" max="7680" width="11.5546875" style="82"/>
    <col min="7681" max="7681" width="23.44140625" style="82" customWidth="1"/>
    <col min="7682" max="7688" width="10.77734375" style="82" customWidth="1"/>
    <col min="7689" max="7936" width="11.5546875" style="82"/>
    <col min="7937" max="7937" width="23.44140625" style="82" customWidth="1"/>
    <col min="7938" max="7944" width="10.77734375" style="82" customWidth="1"/>
    <col min="7945" max="8192" width="11.5546875" style="82"/>
    <col min="8193" max="8193" width="23.44140625" style="82" customWidth="1"/>
    <col min="8194" max="8200" width="10.77734375" style="82" customWidth="1"/>
    <col min="8201" max="8448" width="11.5546875" style="82"/>
    <col min="8449" max="8449" width="23.44140625" style="82" customWidth="1"/>
    <col min="8450" max="8456" width="10.77734375" style="82" customWidth="1"/>
    <col min="8457" max="8704" width="11.5546875" style="82"/>
    <col min="8705" max="8705" width="23.44140625" style="82" customWidth="1"/>
    <col min="8706" max="8712" width="10.77734375" style="82" customWidth="1"/>
    <col min="8713" max="8960" width="11.5546875" style="82"/>
    <col min="8961" max="8961" width="23.44140625" style="82" customWidth="1"/>
    <col min="8962" max="8968" width="10.77734375" style="82" customWidth="1"/>
    <col min="8969" max="9216" width="11.5546875" style="82"/>
    <col min="9217" max="9217" width="23.44140625" style="82" customWidth="1"/>
    <col min="9218" max="9224" width="10.77734375" style="82" customWidth="1"/>
    <col min="9225" max="9472" width="11.5546875" style="82"/>
    <col min="9473" max="9473" width="23.44140625" style="82" customWidth="1"/>
    <col min="9474" max="9480" width="10.77734375" style="82" customWidth="1"/>
    <col min="9481" max="9728" width="11.5546875" style="82"/>
    <col min="9729" max="9729" width="23.44140625" style="82" customWidth="1"/>
    <col min="9730" max="9736" width="10.77734375" style="82" customWidth="1"/>
    <col min="9737" max="9984" width="11.5546875" style="82"/>
    <col min="9985" max="9985" width="23.44140625" style="82" customWidth="1"/>
    <col min="9986" max="9992" width="10.77734375" style="82" customWidth="1"/>
    <col min="9993" max="10240" width="11.5546875" style="82"/>
    <col min="10241" max="10241" width="23.44140625" style="82" customWidth="1"/>
    <col min="10242" max="10248" width="10.77734375" style="82" customWidth="1"/>
    <col min="10249" max="10496" width="11.5546875" style="82"/>
    <col min="10497" max="10497" width="23.44140625" style="82" customWidth="1"/>
    <col min="10498" max="10504" width="10.77734375" style="82" customWidth="1"/>
    <col min="10505" max="10752" width="11.5546875" style="82"/>
    <col min="10753" max="10753" width="23.44140625" style="82" customWidth="1"/>
    <col min="10754" max="10760" width="10.77734375" style="82" customWidth="1"/>
    <col min="10761" max="11008" width="11.5546875" style="82"/>
    <col min="11009" max="11009" width="23.44140625" style="82" customWidth="1"/>
    <col min="11010" max="11016" width="10.77734375" style="82" customWidth="1"/>
    <col min="11017" max="11264" width="11.5546875" style="82"/>
    <col min="11265" max="11265" width="23.44140625" style="82" customWidth="1"/>
    <col min="11266" max="11272" width="10.77734375" style="82" customWidth="1"/>
    <col min="11273" max="11520" width="11.5546875" style="82"/>
    <col min="11521" max="11521" width="23.44140625" style="82" customWidth="1"/>
    <col min="11522" max="11528" width="10.77734375" style="82" customWidth="1"/>
    <col min="11529" max="11776" width="11.5546875" style="82"/>
    <col min="11777" max="11777" width="23.44140625" style="82" customWidth="1"/>
    <col min="11778" max="11784" width="10.77734375" style="82" customWidth="1"/>
    <col min="11785" max="12032" width="11.5546875" style="82"/>
    <col min="12033" max="12033" width="23.44140625" style="82" customWidth="1"/>
    <col min="12034" max="12040" width="10.77734375" style="82" customWidth="1"/>
    <col min="12041" max="12288" width="11.5546875" style="82"/>
    <col min="12289" max="12289" width="23.44140625" style="82" customWidth="1"/>
    <col min="12290" max="12296" width="10.77734375" style="82" customWidth="1"/>
    <col min="12297" max="12544" width="11.5546875" style="82"/>
    <col min="12545" max="12545" width="23.44140625" style="82" customWidth="1"/>
    <col min="12546" max="12552" width="10.77734375" style="82" customWidth="1"/>
    <col min="12553" max="12800" width="11.5546875" style="82"/>
    <col min="12801" max="12801" width="23.44140625" style="82" customWidth="1"/>
    <col min="12802" max="12808" width="10.77734375" style="82" customWidth="1"/>
    <col min="12809" max="13056" width="11.5546875" style="82"/>
    <col min="13057" max="13057" width="23.44140625" style="82" customWidth="1"/>
    <col min="13058" max="13064" width="10.77734375" style="82" customWidth="1"/>
    <col min="13065" max="13312" width="11.5546875" style="82"/>
    <col min="13313" max="13313" width="23.44140625" style="82" customWidth="1"/>
    <col min="13314" max="13320" width="10.77734375" style="82" customWidth="1"/>
    <col min="13321" max="13568" width="11.5546875" style="82"/>
    <col min="13569" max="13569" width="23.44140625" style="82" customWidth="1"/>
    <col min="13570" max="13576" width="10.77734375" style="82" customWidth="1"/>
    <col min="13577" max="13824" width="11.5546875" style="82"/>
    <col min="13825" max="13825" width="23.44140625" style="82" customWidth="1"/>
    <col min="13826" max="13832" width="10.77734375" style="82" customWidth="1"/>
    <col min="13833" max="14080" width="11.5546875" style="82"/>
    <col min="14081" max="14081" width="23.44140625" style="82" customWidth="1"/>
    <col min="14082" max="14088" width="10.77734375" style="82" customWidth="1"/>
    <col min="14089" max="14336" width="11.5546875" style="82"/>
    <col min="14337" max="14337" width="23.44140625" style="82" customWidth="1"/>
    <col min="14338" max="14344" width="10.77734375" style="82" customWidth="1"/>
    <col min="14345" max="14592" width="11.5546875" style="82"/>
    <col min="14593" max="14593" width="23.44140625" style="82" customWidth="1"/>
    <col min="14594" max="14600" width="10.77734375" style="82" customWidth="1"/>
    <col min="14601" max="14848" width="11.5546875" style="82"/>
    <col min="14849" max="14849" width="23.44140625" style="82" customWidth="1"/>
    <col min="14850" max="14856" width="10.77734375" style="82" customWidth="1"/>
    <col min="14857" max="15104" width="11.5546875" style="82"/>
    <col min="15105" max="15105" width="23.44140625" style="82" customWidth="1"/>
    <col min="15106" max="15112" width="10.77734375" style="82" customWidth="1"/>
    <col min="15113" max="15360" width="11.5546875" style="82"/>
    <col min="15361" max="15361" width="23.44140625" style="82" customWidth="1"/>
    <col min="15362" max="15368" width="10.77734375" style="82" customWidth="1"/>
    <col min="15369" max="15616" width="11.5546875" style="82"/>
    <col min="15617" max="15617" width="23.44140625" style="82" customWidth="1"/>
    <col min="15618" max="15624" width="10.77734375" style="82" customWidth="1"/>
    <col min="15625" max="15872" width="11.5546875" style="82"/>
    <col min="15873" max="15873" width="23.44140625" style="82" customWidth="1"/>
    <col min="15874" max="15880" width="10.77734375" style="82" customWidth="1"/>
    <col min="15881" max="16128" width="11.5546875" style="82"/>
    <col min="16129" max="16129" width="23.44140625" style="82" customWidth="1"/>
    <col min="16130" max="16136" width="10.77734375" style="82" customWidth="1"/>
    <col min="16137" max="16384" width="11.5546875" style="82"/>
  </cols>
  <sheetData>
    <row r="1" spans="1:8" ht="12" customHeight="1">
      <c r="A1" s="83"/>
      <c r="B1" s="84"/>
      <c r="C1" s="85"/>
      <c r="D1" s="84"/>
      <c r="E1" s="84"/>
      <c r="F1" s="84"/>
      <c r="G1" s="84"/>
      <c r="H1" s="86"/>
    </row>
    <row r="2" spans="1:8" ht="30" customHeight="1">
      <c r="A2" s="87"/>
      <c r="C2" s="88" t="s">
        <v>118</v>
      </c>
      <c r="G2" s="89"/>
      <c r="H2" s="90"/>
    </row>
    <row r="3" spans="1:8" ht="15" customHeight="1">
      <c r="A3" s="91"/>
      <c r="B3" s="92"/>
      <c r="C3" s="93"/>
      <c r="D3" s="94"/>
      <c r="E3" s="94"/>
      <c r="F3" s="94"/>
      <c r="G3" s="94"/>
      <c r="H3" s="95"/>
    </row>
    <row r="4" spans="1:8" s="100" customFormat="1" ht="24.75" customHeight="1">
      <c r="A4" s="96" t="s">
        <v>119</v>
      </c>
      <c r="B4" s="142" t="s">
        <v>120</v>
      </c>
      <c r="C4" s="98"/>
      <c r="D4" s="99"/>
      <c r="E4" s="97" t="s">
        <v>121</v>
      </c>
      <c r="F4" s="98"/>
      <c r="G4" s="98"/>
      <c r="H4" s="143">
        <v>3</v>
      </c>
    </row>
    <row r="5" spans="1:8" s="100" customFormat="1" ht="24.75" customHeight="1">
      <c r="A5" s="96" t="s">
        <v>122</v>
      </c>
      <c r="B5" s="142" t="s">
        <v>46</v>
      </c>
      <c r="C5" s="98"/>
      <c r="D5" s="99"/>
      <c r="E5" s="97" t="s">
        <v>123</v>
      </c>
      <c r="F5" s="98"/>
      <c r="G5" s="98"/>
      <c r="H5" s="143">
        <v>8</v>
      </c>
    </row>
    <row r="6" spans="1:8" s="100" customFormat="1" ht="24.75" customHeight="1">
      <c r="A6" s="96" t="s">
        <v>124</v>
      </c>
      <c r="B6" s="142" t="s">
        <v>125</v>
      </c>
      <c r="C6" s="98"/>
      <c r="D6" s="98"/>
      <c r="E6" s="1" t="s">
        <v>126</v>
      </c>
      <c r="F6" s="1"/>
      <c r="G6" s="1"/>
      <c r="H6" s="1"/>
    </row>
    <row r="7" spans="1:8" s="100" customFormat="1" ht="24" customHeight="1">
      <c r="A7" s="96" t="s">
        <v>127</v>
      </c>
      <c r="B7" s="142" t="s">
        <v>63</v>
      </c>
      <c r="C7" s="98"/>
      <c r="D7" s="101"/>
      <c r="E7" s="93" t="s">
        <v>129</v>
      </c>
      <c r="F7" s="94" t="s">
        <v>130</v>
      </c>
      <c r="G7" s="94" t="s">
        <v>131</v>
      </c>
      <c r="H7" s="102"/>
    </row>
    <row r="8" spans="1:8" ht="18" customHeight="1">
      <c r="A8" s="103" t="s">
        <v>132</v>
      </c>
      <c r="B8" s="104"/>
      <c r="C8" s="105"/>
      <c r="D8" s="105"/>
      <c r="E8" s="105"/>
      <c r="F8" s="105"/>
      <c r="G8" s="105"/>
      <c r="H8" s="106"/>
    </row>
    <row r="9" spans="1:8" ht="15" customHeight="1">
      <c r="A9" s="144" t="s">
        <v>174</v>
      </c>
      <c r="B9" s="145"/>
      <c r="C9" s="145"/>
      <c r="D9" s="145"/>
      <c r="E9" s="145"/>
      <c r="F9" s="145"/>
      <c r="G9" s="145"/>
      <c r="H9" s="146"/>
    </row>
    <row r="10" spans="1:8" ht="15" customHeight="1">
      <c r="A10" s="144"/>
      <c r="B10" s="145"/>
      <c r="C10" s="145"/>
      <c r="D10" s="145"/>
      <c r="E10" s="145"/>
      <c r="F10" s="145"/>
      <c r="G10" s="145"/>
      <c r="H10" s="146"/>
    </row>
    <row r="11" spans="1:8" ht="15" customHeight="1">
      <c r="A11" s="144"/>
      <c r="B11" s="145"/>
      <c r="C11" s="145"/>
      <c r="D11" s="145"/>
      <c r="E11" s="145"/>
      <c r="F11" s="145"/>
      <c r="G11" s="145"/>
      <c r="H11" s="146"/>
    </row>
    <row r="12" spans="1:8" ht="15" customHeight="1">
      <c r="A12" s="144"/>
      <c r="B12" s="145"/>
      <c r="C12" s="145"/>
      <c r="D12" s="145"/>
      <c r="E12" s="145"/>
      <c r="F12" s="145"/>
      <c r="G12" s="145"/>
      <c r="H12" s="146"/>
    </row>
    <row r="13" spans="1:8" ht="15" customHeight="1">
      <c r="A13" s="147"/>
      <c r="B13" s="148"/>
      <c r="C13" s="148"/>
      <c r="D13" s="148"/>
      <c r="E13" s="148"/>
      <c r="F13" s="148"/>
      <c r="G13" s="148"/>
      <c r="H13" s="149"/>
    </row>
    <row r="14" spans="1:8" ht="15" customHeight="1">
      <c r="A14" s="150" t="s">
        <v>134</v>
      </c>
      <c r="B14" s="105"/>
      <c r="C14" s="155" t="s">
        <v>135</v>
      </c>
      <c r="D14" s="111"/>
      <c r="E14" s="112">
        <v>9</v>
      </c>
      <c r="F14" s="151" t="s">
        <v>136</v>
      </c>
      <c r="G14" s="113"/>
      <c r="H14" s="114" t="s">
        <v>103</v>
      </c>
    </row>
    <row r="15" spans="1:8" ht="15" customHeight="1">
      <c r="A15" s="108" t="s">
        <v>175</v>
      </c>
      <c r="B15" s="109"/>
      <c r="C15" s="153" t="s">
        <v>138</v>
      </c>
      <c r="D15" s="109"/>
      <c r="E15" s="115" t="s">
        <v>30</v>
      </c>
      <c r="F15" s="154" t="s">
        <v>139</v>
      </c>
      <c r="G15" s="117"/>
      <c r="H15" s="118" t="s">
        <v>30</v>
      </c>
    </row>
    <row r="16" spans="1:8" ht="24.75" customHeight="1">
      <c r="A16" s="119" t="s">
        <v>140</v>
      </c>
      <c r="B16" s="105"/>
      <c r="C16" s="105"/>
      <c r="D16" s="105"/>
      <c r="E16" s="105"/>
      <c r="F16" s="105"/>
      <c r="G16" s="105"/>
      <c r="H16" s="106"/>
    </row>
    <row r="17" spans="1:8" ht="24.75" customHeight="1">
      <c r="A17" s="107" t="s">
        <v>176</v>
      </c>
      <c r="B17" s="105"/>
      <c r="C17" s="105"/>
      <c r="D17" s="105"/>
      <c r="E17" s="105"/>
      <c r="F17" s="105"/>
      <c r="G17" s="105"/>
      <c r="H17" s="106"/>
    </row>
    <row r="18" spans="1:8" ht="24.75" customHeight="1">
      <c r="A18" s="107" t="s">
        <v>177</v>
      </c>
      <c r="B18" s="105"/>
      <c r="C18" s="105"/>
      <c r="D18" s="105"/>
      <c r="E18" s="105"/>
      <c r="F18" s="105"/>
      <c r="G18" s="105"/>
      <c r="H18" s="106"/>
    </row>
    <row r="19" spans="1:8" ht="24.75" customHeight="1">
      <c r="A19" s="108"/>
      <c r="B19" s="109"/>
      <c r="C19" s="109"/>
      <c r="D19" s="109"/>
      <c r="E19" s="109"/>
      <c r="F19" s="109"/>
      <c r="G19" s="109"/>
      <c r="H19" s="110"/>
    </row>
    <row r="20" spans="1:8" ht="19.5" customHeight="1">
      <c r="A20" s="119" t="s">
        <v>143</v>
      </c>
      <c r="B20" s="105"/>
      <c r="C20" s="105"/>
      <c r="D20" s="105"/>
      <c r="E20" s="105"/>
      <c r="F20" s="105"/>
      <c r="G20" s="105"/>
      <c r="H20" s="106"/>
    </row>
    <row r="21" spans="1:8" ht="19.5" customHeight="1">
      <c r="A21" s="107" t="s">
        <v>178</v>
      </c>
      <c r="B21" s="105"/>
      <c r="C21" s="105"/>
      <c r="D21" s="105"/>
      <c r="E21" s="105"/>
      <c r="F21" s="105"/>
      <c r="G21" s="105"/>
      <c r="H21" s="106"/>
    </row>
    <row r="22" spans="1:8" ht="19.5" customHeight="1">
      <c r="A22" s="107" t="s">
        <v>179</v>
      </c>
      <c r="B22" s="105"/>
      <c r="C22" s="105"/>
      <c r="D22" s="105"/>
      <c r="E22" s="105"/>
      <c r="F22" s="105"/>
      <c r="G22" s="105"/>
      <c r="H22" s="106"/>
    </row>
    <row r="23" spans="1:8" ht="19.5" customHeight="1">
      <c r="A23" s="107" t="s">
        <v>180</v>
      </c>
      <c r="B23" s="105"/>
      <c r="C23" s="105"/>
      <c r="D23" s="105"/>
      <c r="E23" s="105"/>
      <c r="F23" s="105"/>
      <c r="G23" s="105"/>
      <c r="H23" s="106"/>
    </row>
    <row r="24" spans="1:8" ht="19.5" customHeight="1">
      <c r="A24" s="107"/>
      <c r="B24" s="105"/>
      <c r="C24" s="105"/>
      <c r="D24" s="105"/>
      <c r="E24" s="105"/>
      <c r="F24" s="105"/>
      <c r="G24" s="105"/>
      <c r="H24" s="106"/>
    </row>
    <row r="25" spans="1:8" ht="19.5" customHeight="1">
      <c r="A25" s="108"/>
      <c r="B25" s="109"/>
      <c r="C25" s="109"/>
      <c r="D25" s="109"/>
      <c r="E25" s="109"/>
      <c r="F25" s="109"/>
      <c r="G25" s="109"/>
      <c r="H25" s="110"/>
    </row>
    <row r="26" spans="1:8" ht="27" customHeight="1">
      <c r="A26" s="120" t="s">
        <v>147</v>
      </c>
      <c r="B26" s="116"/>
      <c r="C26" s="121"/>
      <c r="D26" s="117"/>
      <c r="E26" s="122"/>
      <c r="F26" s="123" t="s">
        <v>148</v>
      </c>
      <c r="G26" s="123" t="s">
        <v>149</v>
      </c>
      <c r="H26" s="124" t="s">
        <v>150</v>
      </c>
    </row>
    <row r="27" spans="1:8" ht="27" customHeight="1">
      <c r="A27" s="108" t="s">
        <v>181</v>
      </c>
      <c r="B27" s="109"/>
      <c r="C27" s="109"/>
      <c r="D27" s="109"/>
      <c r="E27" s="115"/>
      <c r="F27" s="125" t="s">
        <v>157</v>
      </c>
      <c r="G27" s="125" t="s">
        <v>182</v>
      </c>
      <c r="H27" s="126" t="s">
        <v>159</v>
      </c>
    </row>
    <row r="28" spans="1:8" ht="27" customHeight="1">
      <c r="A28" s="108" t="s">
        <v>183</v>
      </c>
      <c r="B28" s="109"/>
      <c r="C28" s="109"/>
      <c r="D28" s="109"/>
      <c r="E28" s="115"/>
      <c r="F28" s="125" t="s">
        <v>157</v>
      </c>
      <c r="G28" s="125" t="s">
        <v>184</v>
      </c>
      <c r="H28" s="126" t="s">
        <v>159</v>
      </c>
    </row>
    <row r="29" spans="1:8" ht="27" customHeight="1">
      <c r="A29" s="108" t="s">
        <v>185</v>
      </c>
      <c r="B29" s="109"/>
      <c r="C29" s="109"/>
      <c r="D29" s="109"/>
      <c r="E29" s="115"/>
      <c r="F29" s="125" t="s">
        <v>85</v>
      </c>
      <c r="G29" s="125" t="s">
        <v>186</v>
      </c>
      <c r="H29" s="126" t="s">
        <v>172</v>
      </c>
    </row>
    <row r="30" spans="1:8" ht="27" customHeight="1">
      <c r="A30" s="108"/>
      <c r="B30" s="109"/>
      <c r="C30" s="109"/>
      <c r="D30" s="109"/>
      <c r="E30" s="115"/>
      <c r="F30" s="125"/>
      <c r="G30" s="125"/>
      <c r="H30" s="126"/>
    </row>
    <row r="31" spans="1:8" ht="27" customHeight="1">
      <c r="A31" s="108"/>
      <c r="B31" s="109"/>
      <c r="C31" s="109"/>
      <c r="D31" s="109"/>
      <c r="E31" s="115"/>
      <c r="F31" s="125"/>
      <c r="G31" s="125"/>
      <c r="H31" s="126"/>
    </row>
    <row r="32" spans="1:8" ht="27" customHeight="1">
      <c r="A32" s="108"/>
      <c r="B32" s="109"/>
      <c r="C32" s="109"/>
      <c r="D32" s="109"/>
      <c r="E32" s="115"/>
      <c r="F32" s="125"/>
      <c r="G32" s="125"/>
      <c r="H32" s="126"/>
    </row>
    <row r="33" spans="1:8" ht="27" customHeight="1">
      <c r="A33" s="108"/>
      <c r="B33" s="109"/>
      <c r="C33" s="109"/>
      <c r="D33" s="109"/>
      <c r="E33" s="115"/>
      <c r="F33" s="125"/>
      <c r="G33" s="125"/>
      <c r="H33" s="126"/>
    </row>
    <row r="34" spans="1:8" ht="27" customHeight="1">
      <c r="A34" s="108"/>
      <c r="B34" s="109"/>
      <c r="C34" s="109"/>
      <c r="D34" s="109"/>
      <c r="E34" s="115"/>
      <c r="F34" s="125"/>
      <c r="G34" s="125"/>
      <c r="H34" s="126"/>
    </row>
    <row r="35" spans="1:8" ht="27" customHeight="1">
      <c r="A35" s="108"/>
      <c r="B35" s="109"/>
      <c r="C35" s="109"/>
      <c r="D35" s="109"/>
      <c r="E35" s="115"/>
      <c r="F35" s="125"/>
      <c r="G35" s="125"/>
      <c r="H35" s="126"/>
    </row>
    <row r="36" spans="1:8" ht="27" customHeight="1">
      <c r="A36" s="108"/>
      <c r="B36" s="109"/>
      <c r="C36" s="109"/>
      <c r="D36" s="109"/>
      <c r="E36" s="115"/>
      <c r="F36" s="125"/>
      <c r="G36" s="125"/>
      <c r="H36" s="126"/>
    </row>
    <row r="37" spans="1:8" ht="27" customHeight="1">
      <c r="A37" s="108"/>
      <c r="B37" s="109"/>
      <c r="C37" s="109"/>
      <c r="D37" s="109"/>
      <c r="E37" s="115"/>
      <c r="F37" s="125"/>
      <c r="G37" s="125"/>
      <c r="H37" s="126"/>
    </row>
    <row r="38" spans="1:8" ht="27" customHeight="1">
      <c r="A38" s="108"/>
      <c r="B38" s="109"/>
      <c r="C38" s="109"/>
      <c r="D38" s="109"/>
      <c r="E38" s="115"/>
      <c r="F38" s="125"/>
      <c r="G38" s="125"/>
      <c r="H38" s="126"/>
    </row>
    <row r="39" spans="1:8" ht="27" customHeight="1">
      <c r="A39" s="108"/>
      <c r="B39" s="109"/>
      <c r="C39" s="109"/>
      <c r="D39" s="109"/>
      <c r="E39" s="115"/>
      <c r="F39" s="127"/>
      <c r="G39" s="127"/>
      <c r="H39" s="128"/>
    </row>
    <row r="40" spans="1:8" ht="18.75" customHeight="1">
      <c r="A40" s="160" t="s">
        <v>226</v>
      </c>
      <c r="B40" s="129" t="s">
        <v>46</v>
      </c>
      <c r="C40" s="130"/>
      <c r="D40" s="130"/>
      <c r="E40" s="158" t="s">
        <v>160</v>
      </c>
      <c r="F40" s="129"/>
      <c r="G40" s="130" t="s">
        <v>85</v>
      </c>
      <c r="H40" s="131"/>
    </row>
    <row r="41" spans="1:8" ht="18.75" customHeight="1">
      <c r="A41" s="161" t="s">
        <v>161</v>
      </c>
      <c r="B41" s="156">
        <v>46307</v>
      </c>
      <c r="C41" s="156"/>
      <c r="D41" s="133"/>
      <c r="E41" s="159" t="s">
        <v>161</v>
      </c>
      <c r="F41" s="156">
        <v>46307</v>
      </c>
      <c r="G41" s="156"/>
      <c r="H41" s="134"/>
    </row>
  </sheetData>
  <mergeCells count="4">
    <mergeCell ref="E6:H6"/>
    <mergeCell ref="A9:H13"/>
    <mergeCell ref="B41:C41"/>
    <mergeCell ref="F41:G41"/>
  </mergeCells>
  <printOptions horizontalCentered="1" verticalCentered="1"/>
  <pageMargins left="0.196527777777778" right="0" top="0" bottom="0"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H41"/>
  <sheetViews>
    <sheetView topLeftCell="A36" zoomScaleNormal="100" workbookViewId="0">
      <selection activeCell="G41" sqref="G41:H41"/>
    </sheetView>
  </sheetViews>
  <sheetFormatPr baseColWidth="10" defaultColWidth="11.5546875" defaultRowHeight="13.2"/>
  <cols>
    <col min="1" max="1" width="26.21875" style="82" customWidth="1"/>
    <col min="2" max="8" width="10.77734375" style="82" customWidth="1"/>
    <col min="9" max="256" width="11.5546875" style="82"/>
    <col min="257" max="257" width="23.44140625" style="82" customWidth="1"/>
    <col min="258" max="264" width="10.77734375" style="82" customWidth="1"/>
    <col min="265" max="512" width="11.5546875" style="82"/>
    <col min="513" max="513" width="23.44140625" style="82" customWidth="1"/>
    <col min="514" max="520" width="10.77734375" style="82" customWidth="1"/>
    <col min="521" max="768" width="11.5546875" style="82"/>
    <col min="769" max="769" width="23.44140625" style="82" customWidth="1"/>
    <col min="770" max="776" width="10.77734375" style="82" customWidth="1"/>
    <col min="777" max="1024" width="11.5546875" style="82"/>
    <col min="1025" max="1025" width="23.44140625" style="82" customWidth="1"/>
    <col min="1026" max="1032" width="10.77734375" style="82" customWidth="1"/>
    <col min="1033" max="1280" width="11.5546875" style="82"/>
    <col min="1281" max="1281" width="23.44140625" style="82" customWidth="1"/>
    <col min="1282" max="1288" width="10.77734375" style="82" customWidth="1"/>
    <col min="1289" max="1536" width="11.5546875" style="82"/>
    <col min="1537" max="1537" width="23.44140625" style="82" customWidth="1"/>
    <col min="1538" max="1544" width="10.77734375" style="82" customWidth="1"/>
    <col min="1545" max="1792" width="11.5546875" style="82"/>
    <col min="1793" max="1793" width="23.44140625" style="82" customWidth="1"/>
    <col min="1794" max="1800" width="10.77734375" style="82" customWidth="1"/>
    <col min="1801" max="2048" width="11.5546875" style="82"/>
    <col min="2049" max="2049" width="23.44140625" style="82" customWidth="1"/>
    <col min="2050" max="2056" width="10.77734375" style="82" customWidth="1"/>
    <col min="2057" max="2304" width="11.5546875" style="82"/>
    <col min="2305" max="2305" width="23.44140625" style="82" customWidth="1"/>
    <col min="2306" max="2312" width="10.77734375" style="82" customWidth="1"/>
    <col min="2313" max="2560" width="11.5546875" style="82"/>
    <col min="2561" max="2561" width="23.44140625" style="82" customWidth="1"/>
    <col min="2562" max="2568" width="10.77734375" style="82" customWidth="1"/>
    <col min="2569" max="2816" width="11.5546875" style="82"/>
    <col min="2817" max="2817" width="23.44140625" style="82" customWidth="1"/>
    <col min="2818" max="2824" width="10.77734375" style="82" customWidth="1"/>
    <col min="2825" max="3072" width="11.5546875" style="82"/>
    <col min="3073" max="3073" width="23.44140625" style="82" customWidth="1"/>
    <col min="3074" max="3080" width="10.77734375" style="82" customWidth="1"/>
    <col min="3081" max="3328" width="11.5546875" style="82"/>
    <col min="3329" max="3329" width="23.44140625" style="82" customWidth="1"/>
    <col min="3330" max="3336" width="10.77734375" style="82" customWidth="1"/>
    <col min="3337" max="3584" width="11.5546875" style="82"/>
    <col min="3585" max="3585" width="23.44140625" style="82" customWidth="1"/>
    <col min="3586" max="3592" width="10.77734375" style="82" customWidth="1"/>
    <col min="3593" max="3840" width="11.5546875" style="82"/>
    <col min="3841" max="3841" width="23.44140625" style="82" customWidth="1"/>
    <col min="3842" max="3848" width="10.77734375" style="82" customWidth="1"/>
    <col min="3849" max="4096" width="11.5546875" style="82"/>
    <col min="4097" max="4097" width="23.44140625" style="82" customWidth="1"/>
    <col min="4098" max="4104" width="10.77734375" style="82" customWidth="1"/>
    <col min="4105" max="4352" width="11.5546875" style="82"/>
    <col min="4353" max="4353" width="23.44140625" style="82" customWidth="1"/>
    <col min="4354" max="4360" width="10.77734375" style="82" customWidth="1"/>
    <col min="4361" max="4608" width="11.5546875" style="82"/>
    <col min="4609" max="4609" width="23.44140625" style="82" customWidth="1"/>
    <col min="4610" max="4616" width="10.77734375" style="82" customWidth="1"/>
    <col min="4617" max="4864" width="11.5546875" style="82"/>
    <col min="4865" max="4865" width="23.44140625" style="82" customWidth="1"/>
    <col min="4866" max="4872" width="10.77734375" style="82" customWidth="1"/>
    <col min="4873" max="5120" width="11.5546875" style="82"/>
    <col min="5121" max="5121" width="23.44140625" style="82" customWidth="1"/>
    <col min="5122" max="5128" width="10.77734375" style="82" customWidth="1"/>
    <col min="5129" max="5376" width="11.5546875" style="82"/>
    <col min="5377" max="5377" width="23.44140625" style="82" customWidth="1"/>
    <col min="5378" max="5384" width="10.77734375" style="82" customWidth="1"/>
    <col min="5385" max="5632" width="11.5546875" style="82"/>
    <col min="5633" max="5633" width="23.44140625" style="82" customWidth="1"/>
    <col min="5634" max="5640" width="10.77734375" style="82" customWidth="1"/>
    <col min="5641" max="5888" width="11.5546875" style="82"/>
    <col min="5889" max="5889" width="23.44140625" style="82" customWidth="1"/>
    <col min="5890" max="5896" width="10.77734375" style="82" customWidth="1"/>
    <col min="5897" max="6144" width="11.5546875" style="82"/>
    <col min="6145" max="6145" width="23.44140625" style="82" customWidth="1"/>
    <col min="6146" max="6152" width="10.77734375" style="82" customWidth="1"/>
    <col min="6153" max="6400" width="11.5546875" style="82"/>
    <col min="6401" max="6401" width="23.44140625" style="82" customWidth="1"/>
    <col min="6402" max="6408" width="10.77734375" style="82" customWidth="1"/>
    <col min="6409" max="6656" width="11.5546875" style="82"/>
    <col min="6657" max="6657" width="23.44140625" style="82" customWidth="1"/>
    <col min="6658" max="6664" width="10.77734375" style="82" customWidth="1"/>
    <col min="6665" max="6912" width="11.5546875" style="82"/>
    <col min="6913" max="6913" width="23.44140625" style="82" customWidth="1"/>
    <col min="6914" max="6920" width="10.77734375" style="82" customWidth="1"/>
    <col min="6921" max="7168" width="11.5546875" style="82"/>
    <col min="7169" max="7169" width="23.44140625" style="82" customWidth="1"/>
    <col min="7170" max="7176" width="10.77734375" style="82" customWidth="1"/>
    <col min="7177" max="7424" width="11.5546875" style="82"/>
    <col min="7425" max="7425" width="23.44140625" style="82" customWidth="1"/>
    <col min="7426" max="7432" width="10.77734375" style="82" customWidth="1"/>
    <col min="7433" max="7680" width="11.5546875" style="82"/>
    <col min="7681" max="7681" width="23.44140625" style="82" customWidth="1"/>
    <col min="7682" max="7688" width="10.77734375" style="82" customWidth="1"/>
    <col min="7689" max="7936" width="11.5546875" style="82"/>
    <col min="7937" max="7937" width="23.44140625" style="82" customWidth="1"/>
    <col min="7938" max="7944" width="10.77734375" style="82" customWidth="1"/>
    <col min="7945" max="8192" width="11.5546875" style="82"/>
    <col min="8193" max="8193" width="23.44140625" style="82" customWidth="1"/>
    <col min="8194" max="8200" width="10.77734375" style="82" customWidth="1"/>
    <col min="8201" max="8448" width="11.5546875" style="82"/>
    <col min="8449" max="8449" width="23.44140625" style="82" customWidth="1"/>
    <col min="8450" max="8456" width="10.77734375" style="82" customWidth="1"/>
    <col min="8457" max="8704" width="11.5546875" style="82"/>
    <col min="8705" max="8705" width="23.44140625" style="82" customWidth="1"/>
    <col min="8706" max="8712" width="10.77734375" style="82" customWidth="1"/>
    <col min="8713" max="8960" width="11.5546875" style="82"/>
    <col min="8961" max="8961" width="23.44140625" style="82" customWidth="1"/>
    <col min="8962" max="8968" width="10.77734375" style="82" customWidth="1"/>
    <col min="8969" max="9216" width="11.5546875" style="82"/>
    <col min="9217" max="9217" width="23.44140625" style="82" customWidth="1"/>
    <col min="9218" max="9224" width="10.77734375" style="82" customWidth="1"/>
    <col min="9225" max="9472" width="11.5546875" style="82"/>
    <col min="9473" max="9473" width="23.44140625" style="82" customWidth="1"/>
    <col min="9474" max="9480" width="10.77734375" style="82" customWidth="1"/>
    <col min="9481" max="9728" width="11.5546875" style="82"/>
    <col min="9729" max="9729" width="23.44140625" style="82" customWidth="1"/>
    <col min="9730" max="9736" width="10.77734375" style="82" customWidth="1"/>
    <col min="9737" max="9984" width="11.5546875" style="82"/>
    <col min="9985" max="9985" width="23.44140625" style="82" customWidth="1"/>
    <col min="9986" max="9992" width="10.77734375" style="82" customWidth="1"/>
    <col min="9993" max="10240" width="11.5546875" style="82"/>
    <col min="10241" max="10241" width="23.44140625" style="82" customWidth="1"/>
    <col min="10242" max="10248" width="10.77734375" style="82" customWidth="1"/>
    <col min="10249" max="10496" width="11.5546875" style="82"/>
    <col min="10497" max="10497" width="23.44140625" style="82" customWidth="1"/>
    <col min="10498" max="10504" width="10.77734375" style="82" customWidth="1"/>
    <col min="10505" max="10752" width="11.5546875" style="82"/>
    <col min="10753" max="10753" width="23.44140625" style="82" customWidth="1"/>
    <col min="10754" max="10760" width="10.77734375" style="82" customWidth="1"/>
    <col min="10761" max="11008" width="11.5546875" style="82"/>
    <col min="11009" max="11009" width="23.44140625" style="82" customWidth="1"/>
    <col min="11010" max="11016" width="10.77734375" style="82" customWidth="1"/>
    <col min="11017" max="11264" width="11.5546875" style="82"/>
    <col min="11265" max="11265" width="23.44140625" style="82" customWidth="1"/>
    <col min="11266" max="11272" width="10.77734375" style="82" customWidth="1"/>
    <col min="11273" max="11520" width="11.5546875" style="82"/>
    <col min="11521" max="11521" width="23.44140625" style="82" customWidth="1"/>
    <col min="11522" max="11528" width="10.77734375" style="82" customWidth="1"/>
    <col min="11529" max="11776" width="11.5546875" style="82"/>
    <col min="11777" max="11777" width="23.44140625" style="82" customWidth="1"/>
    <col min="11778" max="11784" width="10.77734375" style="82" customWidth="1"/>
    <col min="11785" max="12032" width="11.5546875" style="82"/>
    <col min="12033" max="12033" width="23.44140625" style="82" customWidth="1"/>
    <col min="12034" max="12040" width="10.77734375" style="82" customWidth="1"/>
    <col min="12041" max="12288" width="11.5546875" style="82"/>
    <col min="12289" max="12289" width="23.44140625" style="82" customWidth="1"/>
    <col min="12290" max="12296" width="10.77734375" style="82" customWidth="1"/>
    <col min="12297" max="12544" width="11.5546875" style="82"/>
    <col min="12545" max="12545" width="23.44140625" style="82" customWidth="1"/>
    <col min="12546" max="12552" width="10.77734375" style="82" customWidth="1"/>
    <col min="12553" max="12800" width="11.5546875" style="82"/>
    <col min="12801" max="12801" width="23.44140625" style="82" customWidth="1"/>
    <col min="12802" max="12808" width="10.77734375" style="82" customWidth="1"/>
    <col min="12809" max="13056" width="11.5546875" style="82"/>
    <col min="13057" max="13057" width="23.44140625" style="82" customWidth="1"/>
    <col min="13058" max="13064" width="10.77734375" style="82" customWidth="1"/>
    <col min="13065" max="13312" width="11.5546875" style="82"/>
    <col min="13313" max="13313" width="23.44140625" style="82" customWidth="1"/>
    <col min="13314" max="13320" width="10.77734375" style="82" customWidth="1"/>
    <col min="13321" max="13568" width="11.5546875" style="82"/>
    <col min="13569" max="13569" width="23.44140625" style="82" customWidth="1"/>
    <col min="13570" max="13576" width="10.77734375" style="82" customWidth="1"/>
    <col min="13577" max="13824" width="11.5546875" style="82"/>
    <col min="13825" max="13825" width="23.44140625" style="82" customWidth="1"/>
    <col min="13826" max="13832" width="10.77734375" style="82" customWidth="1"/>
    <col min="13833" max="14080" width="11.5546875" style="82"/>
    <col min="14081" max="14081" width="23.44140625" style="82" customWidth="1"/>
    <col min="14082" max="14088" width="10.77734375" style="82" customWidth="1"/>
    <col min="14089" max="14336" width="11.5546875" style="82"/>
    <col min="14337" max="14337" width="23.44140625" style="82" customWidth="1"/>
    <col min="14338" max="14344" width="10.77734375" style="82" customWidth="1"/>
    <col min="14345" max="14592" width="11.5546875" style="82"/>
    <col min="14593" max="14593" width="23.44140625" style="82" customWidth="1"/>
    <col min="14594" max="14600" width="10.77734375" style="82" customWidth="1"/>
    <col min="14601" max="14848" width="11.5546875" style="82"/>
    <col min="14849" max="14849" width="23.44140625" style="82" customWidth="1"/>
    <col min="14850" max="14856" width="10.77734375" style="82" customWidth="1"/>
    <col min="14857" max="15104" width="11.5546875" style="82"/>
    <col min="15105" max="15105" width="23.44140625" style="82" customWidth="1"/>
    <col min="15106" max="15112" width="10.77734375" style="82" customWidth="1"/>
    <col min="15113" max="15360" width="11.5546875" style="82"/>
    <col min="15361" max="15361" width="23.44140625" style="82" customWidth="1"/>
    <col min="15362" max="15368" width="10.77734375" style="82" customWidth="1"/>
    <col min="15369" max="15616" width="11.5546875" style="82"/>
    <col min="15617" max="15617" width="23.44140625" style="82" customWidth="1"/>
    <col min="15618" max="15624" width="10.77734375" style="82" customWidth="1"/>
    <col min="15625" max="15872" width="11.5546875" style="82"/>
    <col min="15873" max="15873" width="23.44140625" style="82" customWidth="1"/>
    <col min="15874" max="15880" width="10.77734375" style="82" customWidth="1"/>
    <col min="15881" max="16128" width="11.5546875" style="82"/>
    <col min="16129" max="16129" width="23.44140625" style="82" customWidth="1"/>
    <col min="16130" max="16136" width="10.77734375" style="82" customWidth="1"/>
    <col min="16137" max="16384" width="11.5546875" style="82"/>
  </cols>
  <sheetData>
    <row r="1" spans="1:8" ht="12" customHeight="1">
      <c r="A1" s="83"/>
      <c r="B1" s="84"/>
      <c r="C1" s="85"/>
      <c r="D1" s="84"/>
      <c r="E1" s="84"/>
      <c r="F1" s="84"/>
      <c r="G1" s="84"/>
      <c r="H1" s="86"/>
    </row>
    <row r="2" spans="1:8" ht="30" customHeight="1">
      <c r="A2" s="87"/>
      <c r="C2" s="88" t="s">
        <v>118</v>
      </c>
      <c r="G2" s="89"/>
      <c r="H2" s="90"/>
    </row>
    <row r="3" spans="1:8" ht="15" customHeight="1">
      <c r="A3" s="91"/>
      <c r="B3" s="92"/>
      <c r="C3" s="93"/>
      <c r="D3" s="94"/>
      <c r="E3" s="94"/>
      <c r="F3" s="94"/>
      <c r="G3" s="94"/>
      <c r="H3" s="95"/>
    </row>
    <row r="4" spans="1:8" s="100" customFormat="1" ht="24.75" customHeight="1">
      <c r="A4" s="96" t="s">
        <v>119</v>
      </c>
      <c r="B4" s="142" t="s">
        <v>120</v>
      </c>
      <c r="C4" s="98"/>
      <c r="D4" s="99"/>
      <c r="E4" s="97" t="s">
        <v>121</v>
      </c>
      <c r="F4" s="98"/>
      <c r="G4" s="98"/>
      <c r="H4" s="143">
        <v>4</v>
      </c>
    </row>
    <row r="5" spans="1:8" s="100" customFormat="1" ht="24.75" customHeight="1">
      <c r="A5" s="96" t="s">
        <v>122</v>
      </c>
      <c r="B5" s="142" t="s">
        <v>46</v>
      </c>
      <c r="C5" s="98"/>
      <c r="D5" s="99"/>
      <c r="E5" s="97" t="s">
        <v>123</v>
      </c>
      <c r="F5" s="98"/>
      <c r="G5" s="98"/>
      <c r="H5" s="143">
        <v>9</v>
      </c>
    </row>
    <row r="6" spans="1:8" s="100" customFormat="1" ht="24.75" customHeight="1">
      <c r="A6" s="96" t="s">
        <v>124</v>
      </c>
      <c r="B6" s="142" t="s">
        <v>125</v>
      </c>
      <c r="C6" s="98"/>
      <c r="D6" s="98"/>
      <c r="E6" s="1" t="s">
        <v>126</v>
      </c>
      <c r="F6" s="1"/>
      <c r="G6" s="1"/>
      <c r="H6" s="1"/>
    </row>
    <row r="7" spans="1:8" s="100" customFormat="1" ht="24" customHeight="1">
      <c r="A7" s="96" t="s">
        <v>127</v>
      </c>
      <c r="B7" s="142" t="s">
        <v>187</v>
      </c>
      <c r="C7" s="98"/>
      <c r="D7" s="101"/>
      <c r="E7" s="93" t="s">
        <v>129</v>
      </c>
      <c r="F7" s="94" t="s">
        <v>130</v>
      </c>
      <c r="G7" s="94" t="s">
        <v>131</v>
      </c>
      <c r="H7" s="102"/>
    </row>
    <row r="8" spans="1:8" ht="18" customHeight="1">
      <c r="A8" s="103" t="s">
        <v>132</v>
      </c>
      <c r="B8" s="104"/>
      <c r="C8" s="105"/>
      <c r="D8" s="105"/>
      <c r="E8" s="105"/>
      <c r="F8" s="105"/>
      <c r="G8" s="105"/>
      <c r="H8" s="106"/>
    </row>
    <row r="9" spans="1:8" ht="15" customHeight="1">
      <c r="A9" s="144" t="s">
        <v>188</v>
      </c>
      <c r="B9" s="145"/>
      <c r="C9" s="145"/>
      <c r="D9" s="145"/>
      <c r="E9" s="145"/>
      <c r="F9" s="145"/>
      <c r="G9" s="145"/>
      <c r="H9" s="146"/>
    </row>
    <row r="10" spans="1:8" ht="15" customHeight="1">
      <c r="A10" s="144"/>
      <c r="B10" s="145"/>
      <c r="C10" s="145"/>
      <c r="D10" s="145"/>
      <c r="E10" s="145"/>
      <c r="F10" s="145"/>
      <c r="G10" s="145"/>
      <c r="H10" s="146"/>
    </row>
    <row r="11" spans="1:8" ht="15" customHeight="1">
      <c r="A11" s="144"/>
      <c r="B11" s="145"/>
      <c r="C11" s="145"/>
      <c r="D11" s="145"/>
      <c r="E11" s="145"/>
      <c r="F11" s="145"/>
      <c r="G11" s="145"/>
      <c r="H11" s="146"/>
    </row>
    <row r="12" spans="1:8" ht="15" customHeight="1">
      <c r="A12" s="144"/>
      <c r="B12" s="145"/>
      <c r="C12" s="145"/>
      <c r="D12" s="145"/>
      <c r="E12" s="145"/>
      <c r="F12" s="145"/>
      <c r="G12" s="145"/>
      <c r="H12" s="146"/>
    </row>
    <row r="13" spans="1:8" ht="15" customHeight="1">
      <c r="A13" s="147"/>
      <c r="B13" s="148"/>
      <c r="C13" s="148"/>
      <c r="D13" s="148"/>
      <c r="E13" s="148"/>
      <c r="F13" s="148"/>
      <c r="G13" s="148"/>
      <c r="H13" s="149"/>
    </row>
    <row r="14" spans="1:8" ht="15" customHeight="1">
      <c r="A14" s="150" t="s">
        <v>134</v>
      </c>
      <c r="B14" s="105"/>
      <c r="C14" s="155" t="s">
        <v>135</v>
      </c>
      <c r="D14" s="111"/>
      <c r="E14" s="112">
        <v>9</v>
      </c>
      <c r="F14" s="151" t="s">
        <v>136</v>
      </c>
      <c r="G14" s="113"/>
      <c r="H14" s="114" t="s">
        <v>103</v>
      </c>
    </row>
    <row r="15" spans="1:8" ht="15" customHeight="1">
      <c r="A15" s="108" t="s">
        <v>175</v>
      </c>
      <c r="B15" s="109"/>
      <c r="C15" s="153" t="s">
        <v>138</v>
      </c>
      <c r="D15" s="109"/>
      <c r="E15" s="115" t="s">
        <v>30</v>
      </c>
      <c r="F15" s="154" t="s">
        <v>139</v>
      </c>
      <c r="G15" s="117"/>
      <c r="H15" s="118" t="s">
        <v>30</v>
      </c>
    </row>
    <row r="16" spans="1:8" ht="24.75" customHeight="1">
      <c r="A16" s="119" t="s">
        <v>140</v>
      </c>
      <c r="B16" s="105"/>
      <c r="C16" s="105"/>
      <c r="D16" s="105"/>
      <c r="E16" s="105"/>
      <c r="F16" s="105"/>
      <c r="G16" s="105"/>
      <c r="H16" s="106"/>
    </row>
    <row r="17" spans="1:8" ht="24.75" customHeight="1">
      <c r="A17" s="107" t="s">
        <v>189</v>
      </c>
      <c r="B17" s="105"/>
      <c r="C17" s="105"/>
      <c r="D17" s="105"/>
      <c r="E17" s="105"/>
      <c r="F17" s="105"/>
      <c r="G17" s="105"/>
      <c r="H17" s="106"/>
    </row>
    <row r="18" spans="1:8" ht="24.75" customHeight="1">
      <c r="A18" s="107" t="s">
        <v>190</v>
      </c>
      <c r="B18" s="105"/>
      <c r="C18" s="105"/>
      <c r="D18" s="105"/>
      <c r="E18" s="105"/>
      <c r="F18" s="105"/>
      <c r="G18" s="105"/>
      <c r="H18" s="106"/>
    </row>
    <row r="19" spans="1:8" ht="24.75" customHeight="1">
      <c r="A19" s="108"/>
      <c r="B19" s="109"/>
      <c r="C19" s="109"/>
      <c r="D19" s="109"/>
      <c r="E19" s="109"/>
      <c r="F19" s="109"/>
      <c r="G19" s="109"/>
      <c r="H19" s="110"/>
    </row>
    <row r="20" spans="1:8" ht="19.5" customHeight="1">
      <c r="A20" s="119" t="s">
        <v>143</v>
      </c>
      <c r="B20" s="105"/>
      <c r="C20" s="105"/>
      <c r="D20" s="105"/>
      <c r="E20" s="105"/>
      <c r="F20" s="105"/>
      <c r="G20" s="105"/>
      <c r="H20" s="106"/>
    </row>
    <row r="21" spans="1:8" ht="19.5" customHeight="1">
      <c r="A21" s="107" t="s">
        <v>191</v>
      </c>
      <c r="B21" s="105"/>
      <c r="C21" s="105"/>
      <c r="D21" s="105"/>
      <c r="E21" s="105"/>
      <c r="F21" s="105"/>
      <c r="G21" s="105"/>
      <c r="H21" s="106"/>
    </row>
    <row r="22" spans="1:8" ht="19.5" customHeight="1">
      <c r="A22" s="107" t="s">
        <v>192</v>
      </c>
      <c r="B22" s="105"/>
      <c r="C22" s="105"/>
      <c r="D22" s="105"/>
      <c r="E22" s="105"/>
      <c r="F22" s="105"/>
      <c r="G22" s="105"/>
      <c r="H22" s="106"/>
    </row>
    <row r="23" spans="1:8" ht="19.5" customHeight="1">
      <c r="A23" s="107" t="s">
        <v>193</v>
      </c>
      <c r="B23" s="105"/>
      <c r="C23" s="105"/>
      <c r="D23" s="105"/>
      <c r="E23" s="105"/>
      <c r="F23" s="105"/>
      <c r="G23" s="105"/>
      <c r="H23" s="106"/>
    </row>
    <row r="24" spans="1:8" ht="19.5" customHeight="1">
      <c r="A24" s="107"/>
      <c r="B24" s="105"/>
      <c r="C24" s="105"/>
      <c r="D24" s="105"/>
      <c r="E24" s="105"/>
      <c r="F24" s="105"/>
      <c r="G24" s="105"/>
      <c r="H24" s="106"/>
    </row>
    <row r="25" spans="1:8" ht="19.5" customHeight="1">
      <c r="A25" s="108"/>
      <c r="B25" s="109"/>
      <c r="C25" s="109"/>
      <c r="D25" s="109"/>
      <c r="E25" s="109"/>
      <c r="F25" s="109"/>
      <c r="G25" s="109"/>
      <c r="H25" s="110"/>
    </row>
    <row r="26" spans="1:8" ht="27" customHeight="1">
      <c r="A26" s="120" t="s">
        <v>147</v>
      </c>
      <c r="B26" s="116"/>
      <c r="C26" s="121"/>
      <c r="D26" s="117"/>
      <c r="E26" s="122"/>
      <c r="F26" s="123" t="s">
        <v>148</v>
      </c>
      <c r="G26" s="123" t="s">
        <v>149</v>
      </c>
      <c r="H26" s="124" t="s">
        <v>150</v>
      </c>
    </row>
    <row r="27" spans="1:8" ht="27" customHeight="1">
      <c r="A27" s="108" t="s">
        <v>194</v>
      </c>
      <c r="B27" s="109"/>
      <c r="C27" s="109"/>
      <c r="D27" s="109"/>
      <c r="E27" s="115"/>
      <c r="F27" s="125" t="s">
        <v>195</v>
      </c>
      <c r="G27" s="125" t="s">
        <v>158</v>
      </c>
      <c r="H27" s="126" t="s">
        <v>159</v>
      </c>
    </row>
    <row r="28" spans="1:8" ht="27" customHeight="1">
      <c r="A28" s="108" t="s">
        <v>196</v>
      </c>
      <c r="B28" s="109"/>
      <c r="C28" s="109"/>
      <c r="D28" s="109"/>
      <c r="E28" s="115"/>
      <c r="F28" s="125" t="s">
        <v>195</v>
      </c>
      <c r="G28" s="125" t="s">
        <v>197</v>
      </c>
      <c r="H28" s="126" t="s">
        <v>172</v>
      </c>
    </row>
    <row r="29" spans="1:8" ht="27" customHeight="1">
      <c r="A29" s="108" t="s">
        <v>198</v>
      </c>
      <c r="B29" s="109"/>
      <c r="C29" s="109"/>
      <c r="D29" s="109"/>
      <c r="E29" s="115"/>
      <c r="F29" s="125" t="s">
        <v>152</v>
      </c>
      <c r="G29" s="125" t="s">
        <v>164</v>
      </c>
      <c r="H29" s="126" t="s">
        <v>172</v>
      </c>
    </row>
    <row r="30" spans="1:8" ht="27" customHeight="1">
      <c r="A30" s="108"/>
      <c r="B30" s="109"/>
      <c r="C30" s="109"/>
      <c r="D30" s="109"/>
      <c r="E30" s="115"/>
      <c r="F30" s="125"/>
      <c r="G30" s="125"/>
      <c r="H30" s="126"/>
    </row>
    <row r="31" spans="1:8" ht="27" customHeight="1">
      <c r="A31" s="108"/>
      <c r="B31" s="109"/>
      <c r="C31" s="109"/>
      <c r="D31" s="109"/>
      <c r="E31" s="115"/>
      <c r="F31" s="125"/>
      <c r="G31" s="125"/>
      <c r="H31" s="126"/>
    </row>
    <row r="32" spans="1:8" ht="27" customHeight="1">
      <c r="A32" s="108"/>
      <c r="B32" s="109"/>
      <c r="C32" s="109"/>
      <c r="D32" s="109"/>
      <c r="E32" s="115"/>
      <c r="F32" s="125"/>
      <c r="G32" s="125"/>
      <c r="H32" s="126"/>
    </row>
    <row r="33" spans="1:8" ht="27" customHeight="1">
      <c r="A33" s="108"/>
      <c r="B33" s="109"/>
      <c r="C33" s="109"/>
      <c r="D33" s="109"/>
      <c r="E33" s="115"/>
      <c r="F33" s="125"/>
      <c r="G33" s="125"/>
      <c r="H33" s="126"/>
    </row>
    <row r="34" spans="1:8" ht="27" customHeight="1">
      <c r="A34" s="108"/>
      <c r="B34" s="109"/>
      <c r="C34" s="109"/>
      <c r="D34" s="109"/>
      <c r="E34" s="115"/>
      <c r="F34" s="125"/>
      <c r="G34" s="125"/>
      <c r="H34" s="126"/>
    </row>
    <row r="35" spans="1:8" ht="27" customHeight="1">
      <c r="A35" s="108"/>
      <c r="B35" s="109"/>
      <c r="C35" s="109"/>
      <c r="D35" s="109"/>
      <c r="E35" s="115"/>
      <c r="F35" s="125"/>
      <c r="G35" s="125"/>
      <c r="H35" s="126"/>
    </row>
    <row r="36" spans="1:8" ht="27" customHeight="1">
      <c r="A36" s="108"/>
      <c r="B36" s="109"/>
      <c r="C36" s="109"/>
      <c r="D36" s="109"/>
      <c r="E36" s="115"/>
      <c r="F36" s="125"/>
      <c r="G36" s="125"/>
      <c r="H36" s="126"/>
    </row>
    <row r="37" spans="1:8" ht="27" customHeight="1">
      <c r="A37" s="108"/>
      <c r="B37" s="109"/>
      <c r="C37" s="109"/>
      <c r="D37" s="109"/>
      <c r="E37" s="115"/>
      <c r="F37" s="125"/>
      <c r="G37" s="125"/>
      <c r="H37" s="126"/>
    </row>
    <row r="38" spans="1:8" ht="27" customHeight="1">
      <c r="A38" s="108"/>
      <c r="B38" s="109"/>
      <c r="C38" s="109"/>
      <c r="D38" s="109"/>
      <c r="E38" s="115"/>
      <c r="F38" s="125"/>
      <c r="G38" s="125"/>
      <c r="H38" s="126"/>
    </row>
    <row r="39" spans="1:8" ht="27" customHeight="1">
      <c r="A39" s="108"/>
      <c r="B39" s="109"/>
      <c r="C39" s="109"/>
      <c r="D39" s="109"/>
      <c r="E39" s="115"/>
      <c r="F39" s="127"/>
      <c r="G39" s="127"/>
      <c r="H39" s="128"/>
    </row>
    <row r="40" spans="1:8" ht="18.75" customHeight="1">
      <c r="A40" s="160" t="s">
        <v>226</v>
      </c>
      <c r="B40" s="129" t="s">
        <v>28</v>
      </c>
      <c r="C40" s="130"/>
      <c r="D40" s="130"/>
      <c r="E40" s="158" t="s">
        <v>160</v>
      </c>
      <c r="F40" s="129"/>
      <c r="G40" s="130" t="s">
        <v>85</v>
      </c>
      <c r="H40" s="131"/>
    </row>
    <row r="41" spans="1:8" ht="18.75" customHeight="1">
      <c r="A41" s="161" t="s">
        <v>161</v>
      </c>
      <c r="B41" s="156">
        <v>46307</v>
      </c>
      <c r="C41" s="156"/>
      <c r="D41" s="133"/>
      <c r="E41" s="159" t="s">
        <v>161</v>
      </c>
      <c r="F41" s="132"/>
      <c r="G41" s="156">
        <v>46308</v>
      </c>
      <c r="H41" s="156"/>
    </row>
  </sheetData>
  <mergeCells count="4">
    <mergeCell ref="E6:H6"/>
    <mergeCell ref="A9:H13"/>
    <mergeCell ref="B41:C41"/>
    <mergeCell ref="G41:H41"/>
  </mergeCells>
  <printOptions horizontalCentered="1" verticalCentered="1"/>
  <pageMargins left="0.196527777777778" right="0" top="0" bottom="0"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H41"/>
  <sheetViews>
    <sheetView topLeftCell="A36" zoomScaleNormal="100" workbookViewId="0">
      <selection activeCell="A40" sqref="A40:H41"/>
    </sheetView>
  </sheetViews>
  <sheetFormatPr baseColWidth="10" defaultColWidth="11.5546875" defaultRowHeight="13.2"/>
  <cols>
    <col min="1" max="1" width="26.21875" style="82" customWidth="1"/>
    <col min="2" max="8" width="10.77734375" style="82" customWidth="1"/>
    <col min="9" max="256" width="11.5546875" style="82"/>
    <col min="257" max="257" width="23.44140625" style="82" customWidth="1"/>
    <col min="258" max="264" width="10.77734375" style="82" customWidth="1"/>
    <col min="265" max="512" width="11.5546875" style="82"/>
    <col min="513" max="513" width="23.44140625" style="82" customWidth="1"/>
    <col min="514" max="520" width="10.77734375" style="82" customWidth="1"/>
    <col min="521" max="768" width="11.5546875" style="82"/>
    <col min="769" max="769" width="23.44140625" style="82" customWidth="1"/>
    <col min="770" max="776" width="10.77734375" style="82" customWidth="1"/>
    <col min="777" max="1024" width="11.5546875" style="82"/>
    <col min="1025" max="1025" width="23.44140625" style="82" customWidth="1"/>
    <col min="1026" max="1032" width="10.77734375" style="82" customWidth="1"/>
    <col min="1033" max="1280" width="11.5546875" style="82"/>
    <col min="1281" max="1281" width="23.44140625" style="82" customWidth="1"/>
    <col min="1282" max="1288" width="10.77734375" style="82" customWidth="1"/>
    <col min="1289" max="1536" width="11.5546875" style="82"/>
    <col min="1537" max="1537" width="23.44140625" style="82" customWidth="1"/>
    <col min="1538" max="1544" width="10.77734375" style="82" customWidth="1"/>
    <col min="1545" max="1792" width="11.5546875" style="82"/>
    <col min="1793" max="1793" width="23.44140625" style="82" customWidth="1"/>
    <col min="1794" max="1800" width="10.77734375" style="82" customWidth="1"/>
    <col min="1801" max="2048" width="11.5546875" style="82"/>
    <col min="2049" max="2049" width="23.44140625" style="82" customWidth="1"/>
    <col min="2050" max="2056" width="10.77734375" style="82" customWidth="1"/>
    <col min="2057" max="2304" width="11.5546875" style="82"/>
    <col min="2305" max="2305" width="23.44140625" style="82" customWidth="1"/>
    <col min="2306" max="2312" width="10.77734375" style="82" customWidth="1"/>
    <col min="2313" max="2560" width="11.5546875" style="82"/>
    <col min="2561" max="2561" width="23.44140625" style="82" customWidth="1"/>
    <col min="2562" max="2568" width="10.77734375" style="82" customWidth="1"/>
    <col min="2569" max="2816" width="11.5546875" style="82"/>
    <col min="2817" max="2817" width="23.44140625" style="82" customWidth="1"/>
    <col min="2818" max="2824" width="10.77734375" style="82" customWidth="1"/>
    <col min="2825" max="3072" width="11.5546875" style="82"/>
    <col min="3073" max="3073" width="23.44140625" style="82" customWidth="1"/>
    <col min="3074" max="3080" width="10.77734375" style="82" customWidth="1"/>
    <col min="3081" max="3328" width="11.5546875" style="82"/>
    <col min="3329" max="3329" width="23.44140625" style="82" customWidth="1"/>
    <col min="3330" max="3336" width="10.77734375" style="82" customWidth="1"/>
    <col min="3337" max="3584" width="11.5546875" style="82"/>
    <col min="3585" max="3585" width="23.44140625" style="82" customWidth="1"/>
    <col min="3586" max="3592" width="10.77734375" style="82" customWidth="1"/>
    <col min="3593" max="3840" width="11.5546875" style="82"/>
    <col min="3841" max="3841" width="23.44140625" style="82" customWidth="1"/>
    <col min="3842" max="3848" width="10.77734375" style="82" customWidth="1"/>
    <col min="3849" max="4096" width="11.5546875" style="82"/>
    <col min="4097" max="4097" width="23.44140625" style="82" customWidth="1"/>
    <col min="4098" max="4104" width="10.77734375" style="82" customWidth="1"/>
    <col min="4105" max="4352" width="11.5546875" style="82"/>
    <col min="4353" max="4353" width="23.44140625" style="82" customWidth="1"/>
    <col min="4354" max="4360" width="10.77734375" style="82" customWidth="1"/>
    <col min="4361" max="4608" width="11.5546875" style="82"/>
    <col min="4609" max="4609" width="23.44140625" style="82" customWidth="1"/>
    <col min="4610" max="4616" width="10.77734375" style="82" customWidth="1"/>
    <col min="4617" max="4864" width="11.5546875" style="82"/>
    <col min="4865" max="4865" width="23.44140625" style="82" customWidth="1"/>
    <col min="4866" max="4872" width="10.77734375" style="82" customWidth="1"/>
    <col min="4873" max="5120" width="11.5546875" style="82"/>
    <col min="5121" max="5121" width="23.44140625" style="82" customWidth="1"/>
    <col min="5122" max="5128" width="10.77734375" style="82" customWidth="1"/>
    <col min="5129" max="5376" width="11.5546875" style="82"/>
    <col min="5377" max="5377" width="23.44140625" style="82" customWidth="1"/>
    <col min="5378" max="5384" width="10.77734375" style="82" customWidth="1"/>
    <col min="5385" max="5632" width="11.5546875" style="82"/>
    <col min="5633" max="5633" width="23.44140625" style="82" customWidth="1"/>
    <col min="5634" max="5640" width="10.77734375" style="82" customWidth="1"/>
    <col min="5641" max="5888" width="11.5546875" style="82"/>
    <col min="5889" max="5889" width="23.44140625" style="82" customWidth="1"/>
    <col min="5890" max="5896" width="10.77734375" style="82" customWidth="1"/>
    <col min="5897" max="6144" width="11.5546875" style="82"/>
    <col min="6145" max="6145" width="23.44140625" style="82" customWidth="1"/>
    <col min="6146" max="6152" width="10.77734375" style="82" customWidth="1"/>
    <col min="6153" max="6400" width="11.5546875" style="82"/>
    <col min="6401" max="6401" width="23.44140625" style="82" customWidth="1"/>
    <col min="6402" max="6408" width="10.77734375" style="82" customWidth="1"/>
    <col min="6409" max="6656" width="11.5546875" style="82"/>
    <col min="6657" max="6657" width="23.44140625" style="82" customWidth="1"/>
    <col min="6658" max="6664" width="10.77734375" style="82" customWidth="1"/>
    <col min="6665" max="6912" width="11.5546875" style="82"/>
    <col min="6913" max="6913" width="23.44140625" style="82" customWidth="1"/>
    <col min="6914" max="6920" width="10.77734375" style="82" customWidth="1"/>
    <col min="6921" max="7168" width="11.5546875" style="82"/>
    <col min="7169" max="7169" width="23.44140625" style="82" customWidth="1"/>
    <col min="7170" max="7176" width="10.77734375" style="82" customWidth="1"/>
    <col min="7177" max="7424" width="11.5546875" style="82"/>
    <col min="7425" max="7425" width="23.44140625" style="82" customWidth="1"/>
    <col min="7426" max="7432" width="10.77734375" style="82" customWidth="1"/>
    <col min="7433" max="7680" width="11.5546875" style="82"/>
    <col min="7681" max="7681" width="23.44140625" style="82" customWidth="1"/>
    <col min="7682" max="7688" width="10.77734375" style="82" customWidth="1"/>
    <col min="7689" max="7936" width="11.5546875" style="82"/>
    <col min="7937" max="7937" width="23.44140625" style="82" customWidth="1"/>
    <col min="7938" max="7944" width="10.77734375" style="82" customWidth="1"/>
    <col min="7945" max="8192" width="11.5546875" style="82"/>
    <col min="8193" max="8193" width="23.44140625" style="82" customWidth="1"/>
    <col min="8194" max="8200" width="10.77734375" style="82" customWidth="1"/>
    <col min="8201" max="8448" width="11.5546875" style="82"/>
    <col min="8449" max="8449" width="23.44140625" style="82" customWidth="1"/>
    <col min="8450" max="8456" width="10.77734375" style="82" customWidth="1"/>
    <col min="8457" max="8704" width="11.5546875" style="82"/>
    <col min="8705" max="8705" width="23.44140625" style="82" customWidth="1"/>
    <col min="8706" max="8712" width="10.77734375" style="82" customWidth="1"/>
    <col min="8713" max="8960" width="11.5546875" style="82"/>
    <col min="8961" max="8961" width="23.44140625" style="82" customWidth="1"/>
    <col min="8962" max="8968" width="10.77734375" style="82" customWidth="1"/>
    <col min="8969" max="9216" width="11.5546875" style="82"/>
    <col min="9217" max="9217" width="23.44140625" style="82" customWidth="1"/>
    <col min="9218" max="9224" width="10.77734375" style="82" customWidth="1"/>
    <col min="9225" max="9472" width="11.5546875" style="82"/>
    <col min="9473" max="9473" width="23.44140625" style="82" customWidth="1"/>
    <col min="9474" max="9480" width="10.77734375" style="82" customWidth="1"/>
    <col min="9481" max="9728" width="11.5546875" style="82"/>
    <col min="9729" max="9729" width="23.44140625" style="82" customWidth="1"/>
    <col min="9730" max="9736" width="10.77734375" style="82" customWidth="1"/>
    <col min="9737" max="9984" width="11.5546875" style="82"/>
    <col min="9985" max="9985" width="23.44140625" style="82" customWidth="1"/>
    <col min="9986" max="9992" width="10.77734375" style="82" customWidth="1"/>
    <col min="9993" max="10240" width="11.5546875" style="82"/>
    <col min="10241" max="10241" width="23.44140625" style="82" customWidth="1"/>
    <col min="10242" max="10248" width="10.77734375" style="82" customWidth="1"/>
    <col min="10249" max="10496" width="11.5546875" style="82"/>
    <col min="10497" max="10497" width="23.44140625" style="82" customWidth="1"/>
    <col min="10498" max="10504" width="10.77734375" style="82" customWidth="1"/>
    <col min="10505" max="10752" width="11.5546875" style="82"/>
    <col min="10753" max="10753" width="23.44140625" style="82" customWidth="1"/>
    <col min="10754" max="10760" width="10.77734375" style="82" customWidth="1"/>
    <col min="10761" max="11008" width="11.5546875" style="82"/>
    <col min="11009" max="11009" width="23.44140625" style="82" customWidth="1"/>
    <col min="11010" max="11016" width="10.77734375" style="82" customWidth="1"/>
    <col min="11017" max="11264" width="11.5546875" style="82"/>
    <col min="11265" max="11265" width="23.44140625" style="82" customWidth="1"/>
    <col min="11266" max="11272" width="10.77734375" style="82" customWidth="1"/>
    <col min="11273" max="11520" width="11.5546875" style="82"/>
    <col min="11521" max="11521" width="23.44140625" style="82" customWidth="1"/>
    <col min="11522" max="11528" width="10.77734375" style="82" customWidth="1"/>
    <col min="11529" max="11776" width="11.5546875" style="82"/>
    <col min="11777" max="11777" width="23.44140625" style="82" customWidth="1"/>
    <col min="11778" max="11784" width="10.77734375" style="82" customWidth="1"/>
    <col min="11785" max="12032" width="11.5546875" style="82"/>
    <col min="12033" max="12033" width="23.44140625" style="82" customWidth="1"/>
    <col min="12034" max="12040" width="10.77734375" style="82" customWidth="1"/>
    <col min="12041" max="12288" width="11.5546875" style="82"/>
    <col min="12289" max="12289" width="23.44140625" style="82" customWidth="1"/>
    <col min="12290" max="12296" width="10.77734375" style="82" customWidth="1"/>
    <col min="12297" max="12544" width="11.5546875" style="82"/>
    <col min="12545" max="12545" width="23.44140625" style="82" customWidth="1"/>
    <col min="12546" max="12552" width="10.77734375" style="82" customWidth="1"/>
    <col min="12553" max="12800" width="11.5546875" style="82"/>
    <col min="12801" max="12801" width="23.44140625" style="82" customWidth="1"/>
    <col min="12802" max="12808" width="10.77734375" style="82" customWidth="1"/>
    <col min="12809" max="13056" width="11.5546875" style="82"/>
    <col min="13057" max="13057" width="23.44140625" style="82" customWidth="1"/>
    <col min="13058" max="13064" width="10.77734375" style="82" customWidth="1"/>
    <col min="13065" max="13312" width="11.5546875" style="82"/>
    <col min="13313" max="13313" width="23.44140625" style="82" customWidth="1"/>
    <col min="13314" max="13320" width="10.77734375" style="82" customWidth="1"/>
    <col min="13321" max="13568" width="11.5546875" style="82"/>
    <col min="13569" max="13569" width="23.44140625" style="82" customWidth="1"/>
    <col min="13570" max="13576" width="10.77734375" style="82" customWidth="1"/>
    <col min="13577" max="13824" width="11.5546875" style="82"/>
    <col min="13825" max="13825" width="23.44140625" style="82" customWidth="1"/>
    <col min="13826" max="13832" width="10.77734375" style="82" customWidth="1"/>
    <col min="13833" max="14080" width="11.5546875" style="82"/>
    <col min="14081" max="14081" width="23.44140625" style="82" customWidth="1"/>
    <col min="14082" max="14088" width="10.77734375" style="82" customWidth="1"/>
    <col min="14089" max="14336" width="11.5546875" style="82"/>
    <col min="14337" max="14337" width="23.44140625" style="82" customWidth="1"/>
    <col min="14338" max="14344" width="10.77734375" style="82" customWidth="1"/>
    <col min="14345" max="14592" width="11.5546875" style="82"/>
    <col min="14593" max="14593" width="23.44140625" style="82" customWidth="1"/>
    <col min="14594" max="14600" width="10.77734375" style="82" customWidth="1"/>
    <col min="14601" max="14848" width="11.5546875" style="82"/>
    <col min="14849" max="14849" width="23.44140625" style="82" customWidth="1"/>
    <col min="14850" max="14856" width="10.77734375" style="82" customWidth="1"/>
    <col min="14857" max="15104" width="11.5546875" style="82"/>
    <col min="15105" max="15105" width="23.44140625" style="82" customWidth="1"/>
    <col min="15106" max="15112" width="10.77734375" style="82" customWidth="1"/>
    <col min="15113" max="15360" width="11.5546875" style="82"/>
    <col min="15361" max="15361" width="23.44140625" style="82" customWidth="1"/>
    <col min="15362" max="15368" width="10.77734375" style="82" customWidth="1"/>
    <col min="15369" max="15616" width="11.5546875" style="82"/>
    <col min="15617" max="15617" width="23.44140625" style="82" customWidth="1"/>
    <col min="15618" max="15624" width="10.77734375" style="82" customWidth="1"/>
    <col min="15625" max="15872" width="11.5546875" style="82"/>
    <col min="15873" max="15873" width="23.44140625" style="82" customWidth="1"/>
    <col min="15874" max="15880" width="10.77734375" style="82" customWidth="1"/>
    <col min="15881" max="16128" width="11.5546875" style="82"/>
    <col min="16129" max="16129" width="23.44140625" style="82" customWidth="1"/>
    <col min="16130" max="16136" width="10.77734375" style="82" customWidth="1"/>
    <col min="16137" max="16384" width="11.5546875" style="82"/>
  </cols>
  <sheetData>
    <row r="1" spans="1:8" ht="12" customHeight="1">
      <c r="A1" s="83"/>
      <c r="B1" s="84"/>
      <c r="C1" s="85"/>
      <c r="D1" s="84"/>
      <c r="E1" s="84"/>
      <c r="F1" s="84"/>
      <c r="G1" s="84"/>
      <c r="H1" s="86"/>
    </row>
    <row r="2" spans="1:8" ht="30" customHeight="1">
      <c r="A2" s="87"/>
      <c r="C2" s="88" t="s">
        <v>118</v>
      </c>
      <c r="G2" s="89"/>
      <c r="H2" s="90"/>
    </row>
    <row r="3" spans="1:8" ht="15" customHeight="1">
      <c r="A3" s="91"/>
      <c r="B3" s="92"/>
      <c r="C3" s="93"/>
      <c r="D3" s="94"/>
      <c r="E3" s="94"/>
      <c r="F3" s="94"/>
      <c r="G3" s="94"/>
      <c r="H3" s="95"/>
    </row>
    <row r="4" spans="1:8" s="100" customFormat="1" ht="24.75" customHeight="1">
      <c r="A4" s="96" t="s">
        <v>119</v>
      </c>
      <c r="B4" s="142" t="s">
        <v>120</v>
      </c>
      <c r="C4" s="98"/>
      <c r="D4" s="99"/>
      <c r="E4" s="97" t="s">
        <v>121</v>
      </c>
      <c r="F4" s="98"/>
      <c r="G4" s="98"/>
      <c r="H4" s="143">
        <v>5</v>
      </c>
    </row>
    <row r="5" spans="1:8" s="100" customFormat="1" ht="24.75" customHeight="1">
      <c r="A5" s="96" t="s">
        <v>122</v>
      </c>
      <c r="B5" s="142" t="s">
        <v>46</v>
      </c>
      <c r="C5" s="98"/>
      <c r="D5" s="99"/>
      <c r="E5" s="97" t="s">
        <v>123</v>
      </c>
      <c r="F5" s="98"/>
      <c r="G5" s="98"/>
      <c r="H5" s="143" t="s">
        <v>199</v>
      </c>
    </row>
    <row r="6" spans="1:8" s="100" customFormat="1" ht="24.75" customHeight="1">
      <c r="A6" s="96" t="s">
        <v>124</v>
      </c>
      <c r="B6" s="142" t="s">
        <v>125</v>
      </c>
      <c r="C6" s="98"/>
      <c r="D6" s="98"/>
      <c r="E6" s="1" t="s">
        <v>126</v>
      </c>
      <c r="F6" s="1"/>
      <c r="G6" s="1"/>
      <c r="H6" s="1"/>
    </row>
    <row r="7" spans="1:8" s="100" customFormat="1" ht="24" customHeight="1">
      <c r="A7" s="96" t="s">
        <v>127</v>
      </c>
      <c r="B7" s="142" t="s">
        <v>200</v>
      </c>
      <c r="C7" s="98"/>
      <c r="D7" s="101"/>
      <c r="E7" s="93" t="s">
        <v>129</v>
      </c>
      <c r="F7" s="94" t="s">
        <v>130</v>
      </c>
      <c r="G7" s="94" t="s">
        <v>131</v>
      </c>
      <c r="H7" s="102"/>
    </row>
    <row r="8" spans="1:8" ht="18" customHeight="1">
      <c r="A8" s="103" t="s">
        <v>132</v>
      </c>
      <c r="B8" s="104"/>
      <c r="C8" s="105"/>
      <c r="D8" s="105"/>
      <c r="E8" s="105"/>
      <c r="F8" s="105"/>
      <c r="G8" s="105"/>
      <c r="H8" s="106"/>
    </row>
    <row r="9" spans="1:8" ht="25.8" customHeight="1">
      <c r="A9" s="144" t="s">
        <v>201</v>
      </c>
      <c r="B9" s="145"/>
      <c r="C9" s="145"/>
      <c r="D9" s="145"/>
      <c r="E9" s="145"/>
      <c r="F9" s="145"/>
      <c r="G9" s="145"/>
      <c r="H9" s="146"/>
    </row>
    <row r="10" spans="1:8" ht="25.8" customHeight="1">
      <c r="A10" s="144"/>
      <c r="B10" s="145"/>
      <c r="C10" s="145"/>
      <c r="D10" s="145"/>
      <c r="E10" s="145"/>
      <c r="F10" s="145"/>
      <c r="G10" s="145"/>
      <c r="H10" s="146"/>
    </row>
    <row r="11" spans="1:8" ht="25.8" customHeight="1">
      <c r="A11" s="144"/>
      <c r="B11" s="145"/>
      <c r="C11" s="145"/>
      <c r="D11" s="145"/>
      <c r="E11" s="145"/>
      <c r="F11" s="145"/>
      <c r="G11" s="145"/>
      <c r="H11" s="146"/>
    </row>
    <row r="12" spans="1:8" ht="25.8" customHeight="1">
      <c r="A12" s="144"/>
      <c r="B12" s="145"/>
      <c r="C12" s="145"/>
      <c r="D12" s="145"/>
      <c r="E12" s="145"/>
      <c r="F12" s="145"/>
      <c r="G12" s="145"/>
      <c r="H12" s="146"/>
    </row>
    <row r="13" spans="1:8" ht="25.8" customHeight="1">
      <c r="A13" s="147"/>
      <c r="B13" s="148"/>
      <c r="C13" s="148"/>
      <c r="D13" s="148"/>
      <c r="E13" s="148"/>
      <c r="F13" s="148"/>
      <c r="G13" s="148"/>
      <c r="H13" s="149"/>
    </row>
    <row r="14" spans="1:8" ht="15" customHeight="1">
      <c r="A14" s="150" t="s">
        <v>134</v>
      </c>
      <c r="B14" s="105"/>
      <c r="C14" s="155" t="s">
        <v>135</v>
      </c>
      <c r="D14" s="111"/>
      <c r="E14" s="112">
        <v>9</v>
      </c>
      <c r="F14" s="151" t="s">
        <v>136</v>
      </c>
      <c r="G14" s="113"/>
      <c r="H14" s="114" t="s">
        <v>202</v>
      </c>
    </row>
    <row r="15" spans="1:8" ht="15" customHeight="1">
      <c r="A15" s="108" t="s">
        <v>175</v>
      </c>
      <c r="B15" s="109"/>
      <c r="C15" s="153" t="s">
        <v>138</v>
      </c>
      <c r="D15" s="109"/>
      <c r="E15" s="115" t="s">
        <v>30</v>
      </c>
      <c r="F15" s="154" t="s">
        <v>139</v>
      </c>
      <c r="G15" s="117"/>
      <c r="H15" s="118" t="s">
        <v>203</v>
      </c>
    </row>
    <row r="16" spans="1:8" ht="24.75" customHeight="1">
      <c r="A16" s="119" t="s">
        <v>140</v>
      </c>
      <c r="B16" s="105"/>
      <c r="C16" s="105"/>
      <c r="D16" s="105"/>
      <c r="E16" s="105"/>
      <c r="F16" s="105"/>
      <c r="G16" s="105"/>
      <c r="H16" s="106"/>
    </row>
    <row r="17" spans="1:8" ht="24.75" customHeight="1">
      <c r="A17" s="107" t="s">
        <v>190</v>
      </c>
      <c r="B17" s="105"/>
      <c r="C17" s="105"/>
      <c r="D17" s="105"/>
      <c r="E17" s="105"/>
      <c r="F17" s="105"/>
      <c r="G17" s="105"/>
      <c r="H17" s="106"/>
    </row>
    <row r="18" spans="1:8" ht="24.75" customHeight="1">
      <c r="A18" s="107" t="s">
        <v>204</v>
      </c>
      <c r="B18" s="105"/>
      <c r="C18" s="105"/>
      <c r="D18" s="105"/>
      <c r="E18" s="105"/>
      <c r="F18" s="105"/>
      <c r="G18" s="105"/>
      <c r="H18" s="106"/>
    </row>
    <row r="19" spans="1:8" ht="24.75" customHeight="1">
      <c r="A19" s="108"/>
      <c r="B19" s="109"/>
      <c r="C19" s="109"/>
      <c r="D19" s="109"/>
      <c r="E19" s="109"/>
      <c r="F19" s="109"/>
      <c r="G19" s="109"/>
      <c r="H19" s="110"/>
    </row>
    <row r="20" spans="1:8" ht="19.5" customHeight="1">
      <c r="A20" s="119" t="s">
        <v>143</v>
      </c>
      <c r="B20" s="105"/>
      <c r="C20" s="105"/>
      <c r="D20" s="105"/>
      <c r="E20" s="105"/>
      <c r="F20" s="105"/>
      <c r="G20" s="105"/>
      <c r="H20" s="106"/>
    </row>
    <row r="21" spans="1:8" ht="19.5" customHeight="1">
      <c r="A21" s="107" t="s">
        <v>205</v>
      </c>
      <c r="B21" s="105"/>
      <c r="C21" s="105"/>
      <c r="D21" s="105"/>
      <c r="E21" s="105"/>
      <c r="F21" s="105"/>
      <c r="G21" s="105"/>
      <c r="H21" s="106"/>
    </row>
    <row r="22" spans="1:8" ht="19.5" customHeight="1">
      <c r="A22" s="107" t="s">
        <v>206</v>
      </c>
      <c r="B22" s="105"/>
      <c r="C22" s="105"/>
      <c r="D22" s="105"/>
      <c r="E22" s="105"/>
      <c r="F22" s="105"/>
      <c r="G22" s="105"/>
      <c r="H22" s="106"/>
    </row>
    <row r="23" spans="1:8" ht="19.5" customHeight="1">
      <c r="A23" s="107" t="s">
        <v>207</v>
      </c>
      <c r="B23" s="105"/>
      <c r="C23" s="105"/>
      <c r="D23" s="105"/>
      <c r="E23" s="105"/>
      <c r="F23" s="105"/>
      <c r="G23" s="105"/>
      <c r="H23" s="106"/>
    </row>
    <row r="24" spans="1:8" ht="19.5" customHeight="1">
      <c r="A24" s="107"/>
      <c r="B24" s="105"/>
      <c r="C24" s="105"/>
      <c r="D24" s="105"/>
      <c r="E24" s="105"/>
      <c r="F24" s="105"/>
      <c r="G24" s="105"/>
      <c r="H24" s="106"/>
    </row>
    <row r="25" spans="1:8" ht="19.5" customHeight="1">
      <c r="A25" s="108"/>
      <c r="B25" s="109"/>
      <c r="C25" s="109"/>
      <c r="D25" s="109"/>
      <c r="E25" s="109"/>
      <c r="F25" s="109"/>
      <c r="G25" s="109"/>
      <c r="H25" s="110"/>
    </row>
    <row r="26" spans="1:8" ht="27" customHeight="1">
      <c r="A26" s="120" t="s">
        <v>147</v>
      </c>
      <c r="B26" s="116"/>
      <c r="C26" s="121"/>
      <c r="D26" s="117"/>
      <c r="E26" s="122"/>
      <c r="F26" s="123" t="s">
        <v>148</v>
      </c>
      <c r="G26" s="123" t="s">
        <v>149</v>
      </c>
      <c r="H26" s="124" t="s">
        <v>150</v>
      </c>
    </row>
    <row r="27" spans="1:8" ht="27" customHeight="1">
      <c r="A27" s="108" t="s">
        <v>208</v>
      </c>
      <c r="B27" s="109"/>
      <c r="C27" s="109"/>
      <c r="D27" s="109"/>
      <c r="E27" s="115"/>
      <c r="F27" s="125" t="s">
        <v>157</v>
      </c>
      <c r="G27" s="125" t="s">
        <v>197</v>
      </c>
      <c r="H27" s="126" t="s">
        <v>172</v>
      </c>
    </row>
    <row r="28" spans="1:8" ht="27" customHeight="1">
      <c r="A28" s="108" t="s">
        <v>209</v>
      </c>
      <c r="B28" s="109"/>
      <c r="C28" s="109"/>
      <c r="D28" s="109"/>
      <c r="E28" s="115"/>
      <c r="F28" s="125" t="s">
        <v>85</v>
      </c>
      <c r="G28" s="125" t="s">
        <v>210</v>
      </c>
      <c r="H28" s="126" t="s">
        <v>172</v>
      </c>
    </row>
    <row r="29" spans="1:8" ht="27" customHeight="1">
      <c r="A29" s="108" t="s">
        <v>211</v>
      </c>
      <c r="B29" s="109"/>
      <c r="C29" s="109"/>
      <c r="D29" s="109"/>
      <c r="E29" s="115"/>
      <c r="F29" s="125" t="s">
        <v>212</v>
      </c>
      <c r="G29" s="125" t="s">
        <v>175</v>
      </c>
      <c r="H29" s="126" t="s">
        <v>172</v>
      </c>
    </row>
    <row r="30" spans="1:8" ht="27" customHeight="1">
      <c r="A30" s="108" t="s">
        <v>213</v>
      </c>
      <c r="B30" s="109"/>
      <c r="C30" s="109"/>
      <c r="D30" s="109"/>
      <c r="E30" s="115"/>
      <c r="F30" s="125"/>
      <c r="G30" s="125"/>
      <c r="H30" s="126"/>
    </row>
    <row r="31" spans="1:8" ht="27" customHeight="1">
      <c r="A31" s="108"/>
      <c r="B31" s="109"/>
      <c r="C31" s="109"/>
      <c r="D31" s="109"/>
      <c r="E31" s="115"/>
      <c r="F31" s="125"/>
      <c r="G31" s="125"/>
      <c r="H31" s="126"/>
    </row>
    <row r="32" spans="1:8" ht="27" customHeight="1">
      <c r="A32" s="108"/>
      <c r="B32" s="109"/>
      <c r="C32" s="109"/>
      <c r="D32" s="109"/>
      <c r="E32" s="115"/>
      <c r="F32" s="125"/>
      <c r="G32" s="125"/>
      <c r="H32" s="126"/>
    </row>
    <row r="33" spans="1:8" ht="27" customHeight="1">
      <c r="A33" s="108"/>
      <c r="B33" s="109"/>
      <c r="C33" s="109"/>
      <c r="D33" s="109"/>
      <c r="E33" s="115"/>
      <c r="F33" s="125"/>
      <c r="G33" s="125"/>
      <c r="H33" s="126"/>
    </row>
    <row r="34" spans="1:8" ht="27" customHeight="1">
      <c r="A34" s="108"/>
      <c r="B34" s="109"/>
      <c r="C34" s="109"/>
      <c r="D34" s="109"/>
      <c r="E34" s="115"/>
      <c r="F34" s="125"/>
      <c r="G34" s="125"/>
      <c r="H34" s="126"/>
    </row>
    <row r="35" spans="1:8" ht="27" customHeight="1">
      <c r="A35" s="108"/>
      <c r="B35" s="109"/>
      <c r="C35" s="109"/>
      <c r="D35" s="109"/>
      <c r="E35" s="115"/>
      <c r="F35" s="125"/>
      <c r="G35" s="125"/>
      <c r="H35" s="126"/>
    </row>
    <row r="36" spans="1:8" ht="27" customHeight="1">
      <c r="A36" s="108"/>
      <c r="B36" s="109"/>
      <c r="C36" s="109"/>
      <c r="D36" s="109"/>
      <c r="E36" s="115"/>
      <c r="F36" s="125"/>
      <c r="G36" s="125"/>
      <c r="H36" s="126"/>
    </row>
    <row r="37" spans="1:8" ht="27" customHeight="1">
      <c r="A37" s="108"/>
      <c r="B37" s="109"/>
      <c r="C37" s="109"/>
      <c r="D37" s="109"/>
      <c r="E37" s="115"/>
      <c r="F37" s="125"/>
      <c r="G37" s="125"/>
      <c r="H37" s="126"/>
    </row>
    <row r="38" spans="1:8" ht="27" customHeight="1">
      <c r="A38" s="108"/>
      <c r="B38" s="109"/>
      <c r="C38" s="109"/>
      <c r="D38" s="109"/>
      <c r="E38" s="115"/>
      <c r="F38" s="125"/>
      <c r="G38" s="125"/>
      <c r="H38" s="126"/>
    </row>
    <row r="39" spans="1:8" ht="27" customHeight="1">
      <c r="A39" s="108"/>
      <c r="B39" s="109"/>
      <c r="C39" s="109"/>
      <c r="D39" s="109"/>
      <c r="E39" s="115"/>
      <c r="F39" s="127"/>
      <c r="G39" s="127"/>
      <c r="H39" s="128"/>
    </row>
    <row r="40" spans="1:8" ht="18.75" customHeight="1">
      <c r="A40" s="160" t="s">
        <v>226</v>
      </c>
      <c r="B40" s="129" t="s">
        <v>46</v>
      </c>
      <c r="C40" s="130"/>
      <c r="D40" s="130"/>
      <c r="E40" s="158" t="s">
        <v>160</v>
      </c>
      <c r="F40" s="129"/>
      <c r="G40" s="130" t="s">
        <v>85</v>
      </c>
      <c r="H40" s="131"/>
    </row>
    <row r="41" spans="1:8" ht="18.75" customHeight="1">
      <c r="A41" s="161" t="s">
        <v>161</v>
      </c>
      <c r="B41" s="156">
        <v>46307</v>
      </c>
      <c r="C41" s="156"/>
      <c r="D41" s="133"/>
      <c r="E41" s="159" t="s">
        <v>161</v>
      </c>
      <c r="F41" s="132"/>
      <c r="G41" s="156">
        <v>46308</v>
      </c>
      <c r="H41" s="157"/>
    </row>
  </sheetData>
  <mergeCells count="4">
    <mergeCell ref="E6:H6"/>
    <mergeCell ref="A9:H13"/>
    <mergeCell ref="B41:C41"/>
    <mergeCell ref="G41:H41"/>
  </mergeCells>
  <printOptions horizontalCentered="1" verticalCentered="1"/>
  <pageMargins left="0.196527777777778" right="0" top="0" bottom="0"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41"/>
  <sheetViews>
    <sheetView tabSelected="1" topLeftCell="A29" zoomScaleNormal="100" workbookViewId="0">
      <selection activeCell="C44" sqref="C44"/>
    </sheetView>
  </sheetViews>
  <sheetFormatPr baseColWidth="10" defaultColWidth="11.5546875" defaultRowHeight="13.2"/>
  <cols>
    <col min="1" max="1" width="26.21875" style="82" customWidth="1"/>
    <col min="2" max="8" width="10.77734375" style="82" customWidth="1"/>
    <col min="9" max="256" width="11.5546875" style="82"/>
    <col min="257" max="257" width="23.44140625" style="82" customWidth="1"/>
    <col min="258" max="264" width="10.77734375" style="82" customWidth="1"/>
    <col min="265" max="512" width="11.5546875" style="82"/>
    <col min="513" max="513" width="23.44140625" style="82" customWidth="1"/>
    <col min="514" max="520" width="10.77734375" style="82" customWidth="1"/>
    <col min="521" max="768" width="11.5546875" style="82"/>
    <col min="769" max="769" width="23.44140625" style="82" customWidth="1"/>
    <col min="770" max="776" width="10.77734375" style="82" customWidth="1"/>
    <col min="777" max="1024" width="11.5546875" style="82"/>
    <col min="1025" max="1025" width="23.44140625" style="82" customWidth="1"/>
    <col min="1026" max="1032" width="10.77734375" style="82" customWidth="1"/>
    <col min="1033" max="1280" width="11.5546875" style="82"/>
    <col min="1281" max="1281" width="23.44140625" style="82" customWidth="1"/>
    <col min="1282" max="1288" width="10.77734375" style="82" customWidth="1"/>
    <col min="1289" max="1536" width="11.5546875" style="82"/>
    <col min="1537" max="1537" width="23.44140625" style="82" customWidth="1"/>
    <col min="1538" max="1544" width="10.77734375" style="82" customWidth="1"/>
    <col min="1545" max="1792" width="11.5546875" style="82"/>
    <col min="1793" max="1793" width="23.44140625" style="82" customWidth="1"/>
    <col min="1794" max="1800" width="10.77734375" style="82" customWidth="1"/>
    <col min="1801" max="2048" width="11.5546875" style="82"/>
    <col min="2049" max="2049" width="23.44140625" style="82" customWidth="1"/>
    <col min="2050" max="2056" width="10.77734375" style="82" customWidth="1"/>
    <col min="2057" max="2304" width="11.5546875" style="82"/>
    <col min="2305" max="2305" width="23.44140625" style="82" customWidth="1"/>
    <col min="2306" max="2312" width="10.77734375" style="82" customWidth="1"/>
    <col min="2313" max="2560" width="11.5546875" style="82"/>
    <col min="2561" max="2561" width="23.44140625" style="82" customWidth="1"/>
    <col min="2562" max="2568" width="10.77734375" style="82" customWidth="1"/>
    <col min="2569" max="2816" width="11.5546875" style="82"/>
    <col min="2817" max="2817" width="23.44140625" style="82" customWidth="1"/>
    <col min="2818" max="2824" width="10.77734375" style="82" customWidth="1"/>
    <col min="2825" max="3072" width="11.5546875" style="82"/>
    <col min="3073" max="3073" width="23.44140625" style="82" customWidth="1"/>
    <col min="3074" max="3080" width="10.77734375" style="82" customWidth="1"/>
    <col min="3081" max="3328" width="11.5546875" style="82"/>
    <col min="3329" max="3329" width="23.44140625" style="82" customWidth="1"/>
    <col min="3330" max="3336" width="10.77734375" style="82" customWidth="1"/>
    <col min="3337" max="3584" width="11.5546875" style="82"/>
    <col min="3585" max="3585" width="23.44140625" style="82" customWidth="1"/>
    <col min="3586" max="3592" width="10.77734375" style="82" customWidth="1"/>
    <col min="3593" max="3840" width="11.5546875" style="82"/>
    <col min="3841" max="3841" width="23.44140625" style="82" customWidth="1"/>
    <col min="3842" max="3848" width="10.77734375" style="82" customWidth="1"/>
    <col min="3849" max="4096" width="11.5546875" style="82"/>
    <col min="4097" max="4097" width="23.44140625" style="82" customWidth="1"/>
    <col min="4098" max="4104" width="10.77734375" style="82" customWidth="1"/>
    <col min="4105" max="4352" width="11.5546875" style="82"/>
    <col min="4353" max="4353" width="23.44140625" style="82" customWidth="1"/>
    <col min="4354" max="4360" width="10.77734375" style="82" customWidth="1"/>
    <col min="4361" max="4608" width="11.5546875" style="82"/>
    <col min="4609" max="4609" width="23.44140625" style="82" customWidth="1"/>
    <col min="4610" max="4616" width="10.77734375" style="82" customWidth="1"/>
    <col min="4617" max="4864" width="11.5546875" style="82"/>
    <col min="4865" max="4865" width="23.44140625" style="82" customWidth="1"/>
    <col min="4866" max="4872" width="10.77734375" style="82" customWidth="1"/>
    <col min="4873" max="5120" width="11.5546875" style="82"/>
    <col min="5121" max="5121" width="23.44140625" style="82" customWidth="1"/>
    <col min="5122" max="5128" width="10.77734375" style="82" customWidth="1"/>
    <col min="5129" max="5376" width="11.5546875" style="82"/>
    <col min="5377" max="5377" width="23.44140625" style="82" customWidth="1"/>
    <col min="5378" max="5384" width="10.77734375" style="82" customWidth="1"/>
    <col min="5385" max="5632" width="11.5546875" style="82"/>
    <col min="5633" max="5633" width="23.44140625" style="82" customWidth="1"/>
    <col min="5634" max="5640" width="10.77734375" style="82" customWidth="1"/>
    <col min="5641" max="5888" width="11.5546875" style="82"/>
    <col min="5889" max="5889" width="23.44140625" style="82" customWidth="1"/>
    <col min="5890" max="5896" width="10.77734375" style="82" customWidth="1"/>
    <col min="5897" max="6144" width="11.5546875" style="82"/>
    <col min="6145" max="6145" width="23.44140625" style="82" customWidth="1"/>
    <col min="6146" max="6152" width="10.77734375" style="82" customWidth="1"/>
    <col min="6153" max="6400" width="11.5546875" style="82"/>
    <col min="6401" max="6401" width="23.44140625" style="82" customWidth="1"/>
    <col min="6402" max="6408" width="10.77734375" style="82" customWidth="1"/>
    <col min="6409" max="6656" width="11.5546875" style="82"/>
    <col min="6657" max="6657" width="23.44140625" style="82" customWidth="1"/>
    <col min="6658" max="6664" width="10.77734375" style="82" customWidth="1"/>
    <col min="6665" max="6912" width="11.5546875" style="82"/>
    <col min="6913" max="6913" width="23.44140625" style="82" customWidth="1"/>
    <col min="6914" max="6920" width="10.77734375" style="82" customWidth="1"/>
    <col min="6921" max="7168" width="11.5546875" style="82"/>
    <col min="7169" max="7169" width="23.44140625" style="82" customWidth="1"/>
    <col min="7170" max="7176" width="10.77734375" style="82" customWidth="1"/>
    <col min="7177" max="7424" width="11.5546875" style="82"/>
    <col min="7425" max="7425" width="23.44140625" style="82" customWidth="1"/>
    <col min="7426" max="7432" width="10.77734375" style="82" customWidth="1"/>
    <col min="7433" max="7680" width="11.5546875" style="82"/>
    <col min="7681" max="7681" width="23.44140625" style="82" customWidth="1"/>
    <col min="7682" max="7688" width="10.77734375" style="82" customWidth="1"/>
    <col min="7689" max="7936" width="11.5546875" style="82"/>
    <col min="7937" max="7937" width="23.44140625" style="82" customWidth="1"/>
    <col min="7938" max="7944" width="10.77734375" style="82" customWidth="1"/>
    <col min="7945" max="8192" width="11.5546875" style="82"/>
    <col min="8193" max="8193" width="23.44140625" style="82" customWidth="1"/>
    <col min="8194" max="8200" width="10.77734375" style="82" customWidth="1"/>
    <col min="8201" max="8448" width="11.5546875" style="82"/>
    <col min="8449" max="8449" width="23.44140625" style="82" customWidth="1"/>
    <col min="8450" max="8456" width="10.77734375" style="82" customWidth="1"/>
    <col min="8457" max="8704" width="11.5546875" style="82"/>
    <col min="8705" max="8705" width="23.44140625" style="82" customWidth="1"/>
    <col min="8706" max="8712" width="10.77734375" style="82" customWidth="1"/>
    <col min="8713" max="8960" width="11.5546875" style="82"/>
    <col min="8961" max="8961" width="23.44140625" style="82" customWidth="1"/>
    <col min="8962" max="8968" width="10.77734375" style="82" customWidth="1"/>
    <col min="8969" max="9216" width="11.5546875" style="82"/>
    <col min="9217" max="9217" width="23.44140625" style="82" customWidth="1"/>
    <col min="9218" max="9224" width="10.77734375" style="82" customWidth="1"/>
    <col min="9225" max="9472" width="11.5546875" style="82"/>
    <col min="9473" max="9473" width="23.44140625" style="82" customWidth="1"/>
    <col min="9474" max="9480" width="10.77734375" style="82" customWidth="1"/>
    <col min="9481" max="9728" width="11.5546875" style="82"/>
    <col min="9729" max="9729" width="23.44140625" style="82" customWidth="1"/>
    <col min="9730" max="9736" width="10.77734375" style="82" customWidth="1"/>
    <col min="9737" max="9984" width="11.5546875" style="82"/>
    <col min="9985" max="9985" width="23.44140625" style="82" customWidth="1"/>
    <col min="9986" max="9992" width="10.77734375" style="82" customWidth="1"/>
    <col min="9993" max="10240" width="11.5546875" style="82"/>
    <col min="10241" max="10241" width="23.44140625" style="82" customWidth="1"/>
    <col min="10242" max="10248" width="10.77734375" style="82" customWidth="1"/>
    <col min="10249" max="10496" width="11.5546875" style="82"/>
    <col min="10497" max="10497" width="23.44140625" style="82" customWidth="1"/>
    <col min="10498" max="10504" width="10.77734375" style="82" customWidth="1"/>
    <col min="10505" max="10752" width="11.5546875" style="82"/>
    <col min="10753" max="10753" width="23.44140625" style="82" customWidth="1"/>
    <col min="10754" max="10760" width="10.77734375" style="82" customWidth="1"/>
    <col min="10761" max="11008" width="11.5546875" style="82"/>
    <col min="11009" max="11009" width="23.44140625" style="82" customWidth="1"/>
    <col min="11010" max="11016" width="10.77734375" style="82" customWidth="1"/>
    <col min="11017" max="11264" width="11.5546875" style="82"/>
    <col min="11265" max="11265" width="23.44140625" style="82" customWidth="1"/>
    <col min="11266" max="11272" width="10.77734375" style="82" customWidth="1"/>
    <col min="11273" max="11520" width="11.5546875" style="82"/>
    <col min="11521" max="11521" width="23.44140625" style="82" customWidth="1"/>
    <col min="11522" max="11528" width="10.77734375" style="82" customWidth="1"/>
    <col min="11529" max="11776" width="11.5546875" style="82"/>
    <col min="11777" max="11777" width="23.44140625" style="82" customWidth="1"/>
    <col min="11778" max="11784" width="10.77734375" style="82" customWidth="1"/>
    <col min="11785" max="12032" width="11.5546875" style="82"/>
    <col min="12033" max="12033" width="23.44140625" style="82" customWidth="1"/>
    <col min="12034" max="12040" width="10.77734375" style="82" customWidth="1"/>
    <col min="12041" max="12288" width="11.5546875" style="82"/>
    <col min="12289" max="12289" width="23.44140625" style="82" customWidth="1"/>
    <col min="12290" max="12296" width="10.77734375" style="82" customWidth="1"/>
    <col min="12297" max="12544" width="11.5546875" style="82"/>
    <col min="12545" max="12545" width="23.44140625" style="82" customWidth="1"/>
    <col min="12546" max="12552" width="10.77734375" style="82" customWidth="1"/>
    <col min="12553" max="12800" width="11.5546875" style="82"/>
    <col min="12801" max="12801" width="23.44140625" style="82" customWidth="1"/>
    <col min="12802" max="12808" width="10.77734375" style="82" customWidth="1"/>
    <col min="12809" max="13056" width="11.5546875" style="82"/>
    <col min="13057" max="13057" width="23.44140625" style="82" customWidth="1"/>
    <col min="13058" max="13064" width="10.77734375" style="82" customWidth="1"/>
    <col min="13065" max="13312" width="11.5546875" style="82"/>
    <col min="13313" max="13313" width="23.44140625" style="82" customWidth="1"/>
    <col min="13314" max="13320" width="10.77734375" style="82" customWidth="1"/>
    <col min="13321" max="13568" width="11.5546875" style="82"/>
    <col min="13569" max="13569" width="23.44140625" style="82" customWidth="1"/>
    <col min="13570" max="13576" width="10.77734375" style="82" customWidth="1"/>
    <col min="13577" max="13824" width="11.5546875" style="82"/>
    <col min="13825" max="13825" width="23.44140625" style="82" customWidth="1"/>
    <col min="13826" max="13832" width="10.77734375" style="82" customWidth="1"/>
    <col min="13833" max="14080" width="11.5546875" style="82"/>
    <col min="14081" max="14081" width="23.44140625" style="82" customWidth="1"/>
    <col min="14082" max="14088" width="10.77734375" style="82" customWidth="1"/>
    <col min="14089" max="14336" width="11.5546875" style="82"/>
    <col min="14337" max="14337" width="23.44140625" style="82" customWidth="1"/>
    <col min="14338" max="14344" width="10.77734375" style="82" customWidth="1"/>
    <col min="14345" max="14592" width="11.5546875" style="82"/>
    <col min="14593" max="14593" width="23.44140625" style="82" customWidth="1"/>
    <col min="14594" max="14600" width="10.77734375" style="82" customWidth="1"/>
    <col min="14601" max="14848" width="11.5546875" style="82"/>
    <col min="14849" max="14849" width="23.44140625" style="82" customWidth="1"/>
    <col min="14850" max="14856" width="10.77734375" style="82" customWidth="1"/>
    <col min="14857" max="15104" width="11.5546875" style="82"/>
    <col min="15105" max="15105" width="23.44140625" style="82" customWidth="1"/>
    <col min="15106" max="15112" width="10.77734375" style="82" customWidth="1"/>
    <col min="15113" max="15360" width="11.5546875" style="82"/>
    <col min="15361" max="15361" width="23.44140625" style="82" customWidth="1"/>
    <col min="15362" max="15368" width="10.77734375" style="82" customWidth="1"/>
    <col min="15369" max="15616" width="11.5546875" style="82"/>
    <col min="15617" max="15617" width="23.44140625" style="82" customWidth="1"/>
    <col min="15618" max="15624" width="10.77734375" style="82" customWidth="1"/>
    <col min="15625" max="15872" width="11.5546875" style="82"/>
    <col min="15873" max="15873" width="23.44140625" style="82" customWidth="1"/>
    <col min="15874" max="15880" width="10.77734375" style="82" customWidth="1"/>
    <col min="15881" max="16128" width="11.5546875" style="82"/>
    <col min="16129" max="16129" width="23.44140625" style="82" customWidth="1"/>
    <col min="16130" max="16136" width="10.77734375" style="82" customWidth="1"/>
    <col min="16137" max="16384" width="11.5546875" style="82"/>
  </cols>
  <sheetData>
    <row r="1" spans="1:8" ht="12" customHeight="1">
      <c r="A1" s="83"/>
      <c r="B1" s="84"/>
      <c r="C1" s="85"/>
      <c r="D1" s="84"/>
      <c r="E1" s="84"/>
      <c r="F1" s="84"/>
      <c r="G1" s="84"/>
      <c r="H1" s="86"/>
    </row>
    <row r="2" spans="1:8" ht="30" customHeight="1">
      <c r="A2" s="87"/>
      <c r="C2" s="88" t="s">
        <v>118</v>
      </c>
      <c r="G2" s="89"/>
      <c r="H2" s="90"/>
    </row>
    <row r="3" spans="1:8" ht="15" customHeight="1">
      <c r="A3" s="91"/>
      <c r="B3" s="92"/>
      <c r="C3" s="93"/>
      <c r="D3" s="94"/>
      <c r="E3" s="94"/>
      <c r="F3" s="94"/>
      <c r="G3" s="94"/>
      <c r="H3" s="95"/>
    </row>
    <row r="4" spans="1:8" s="100" customFormat="1" ht="24.75" customHeight="1">
      <c r="A4" s="96" t="s">
        <v>119</v>
      </c>
      <c r="B4" s="142" t="s">
        <v>120</v>
      </c>
      <c r="C4" s="98"/>
      <c r="D4" s="99"/>
      <c r="E4" s="97" t="s">
        <v>121</v>
      </c>
      <c r="F4" s="98"/>
      <c r="G4" s="98"/>
      <c r="H4" s="143">
        <v>6</v>
      </c>
    </row>
    <row r="5" spans="1:8" s="100" customFormat="1" ht="24.75" customHeight="1">
      <c r="A5" s="96" t="s">
        <v>122</v>
      </c>
      <c r="B5" s="142" t="s">
        <v>46</v>
      </c>
      <c r="C5" s="98"/>
      <c r="D5" s="99"/>
      <c r="E5" s="97" t="s">
        <v>123</v>
      </c>
      <c r="F5" s="98"/>
      <c r="G5" s="98"/>
      <c r="H5" s="143">
        <v>11</v>
      </c>
    </row>
    <row r="6" spans="1:8" s="100" customFormat="1" ht="24.75" customHeight="1">
      <c r="A6" s="96" t="s">
        <v>124</v>
      </c>
      <c r="B6" s="142" t="s">
        <v>125</v>
      </c>
      <c r="C6" s="98"/>
      <c r="D6" s="98"/>
      <c r="E6" s="1" t="s">
        <v>126</v>
      </c>
      <c r="F6" s="1"/>
      <c r="G6" s="1"/>
      <c r="H6" s="1"/>
    </row>
    <row r="7" spans="1:8" s="100" customFormat="1" ht="24" customHeight="1">
      <c r="A7" s="96" t="s">
        <v>127</v>
      </c>
      <c r="B7" s="142" t="s">
        <v>214</v>
      </c>
      <c r="C7" s="98"/>
      <c r="D7" s="101"/>
      <c r="E7" s="93" t="s">
        <v>129</v>
      </c>
      <c r="F7" s="94" t="s">
        <v>130</v>
      </c>
      <c r="G7" s="94" t="s">
        <v>131</v>
      </c>
      <c r="H7" s="102"/>
    </row>
    <row r="8" spans="1:8" ht="18" customHeight="1">
      <c r="A8" s="103" t="s">
        <v>132</v>
      </c>
      <c r="B8" s="104"/>
      <c r="C8" s="105"/>
      <c r="D8" s="105"/>
      <c r="E8" s="105"/>
      <c r="F8" s="105"/>
      <c r="G8" s="105"/>
      <c r="H8" s="106"/>
    </row>
    <row r="9" spans="1:8" ht="15" customHeight="1">
      <c r="A9" s="144" t="s">
        <v>215</v>
      </c>
      <c r="B9" s="145"/>
      <c r="C9" s="145"/>
      <c r="D9" s="145"/>
      <c r="E9" s="145"/>
      <c r="F9" s="145"/>
      <c r="G9" s="145"/>
      <c r="H9" s="146"/>
    </row>
    <row r="10" spans="1:8" ht="15" customHeight="1">
      <c r="A10" s="144"/>
      <c r="B10" s="145"/>
      <c r="C10" s="145"/>
      <c r="D10" s="145"/>
      <c r="E10" s="145"/>
      <c r="F10" s="145"/>
      <c r="G10" s="145"/>
      <c r="H10" s="146"/>
    </row>
    <row r="11" spans="1:8" ht="15" customHeight="1">
      <c r="A11" s="144"/>
      <c r="B11" s="145"/>
      <c r="C11" s="145"/>
      <c r="D11" s="145"/>
      <c r="E11" s="145"/>
      <c r="F11" s="145"/>
      <c r="G11" s="145"/>
      <c r="H11" s="146"/>
    </row>
    <row r="12" spans="1:8" ht="15" customHeight="1">
      <c r="A12" s="144"/>
      <c r="B12" s="145"/>
      <c r="C12" s="145"/>
      <c r="D12" s="145"/>
      <c r="E12" s="145"/>
      <c r="F12" s="145"/>
      <c r="G12" s="145"/>
      <c r="H12" s="146"/>
    </row>
    <row r="13" spans="1:8" ht="15" customHeight="1">
      <c r="A13" s="147"/>
      <c r="B13" s="148"/>
      <c r="C13" s="148"/>
      <c r="D13" s="148"/>
      <c r="E13" s="148"/>
      <c r="F13" s="148"/>
      <c r="G13" s="148"/>
      <c r="H13" s="149"/>
    </row>
    <row r="14" spans="1:8" ht="15" customHeight="1">
      <c r="A14" s="150" t="s">
        <v>134</v>
      </c>
      <c r="B14" s="105"/>
      <c r="C14" s="155" t="s">
        <v>135</v>
      </c>
      <c r="D14" s="111"/>
      <c r="E14" s="112">
        <v>8</v>
      </c>
      <c r="F14" s="151" t="s">
        <v>136</v>
      </c>
      <c r="G14" s="113"/>
      <c r="H14" s="114" t="s">
        <v>97</v>
      </c>
    </row>
    <row r="15" spans="1:8" ht="15" customHeight="1">
      <c r="A15" s="108" t="s">
        <v>175</v>
      </c>
      <c r="B15" s="109"/>
      <c r="C15" s="153" t="s">
        <v>138</v>
      </c>
      <c r="D15" s="109"/>
      <c r="E15" s="115" t="s">
        <v>97</v>
      </c>
      <c r="F15" s="154" t="s">
        <v>139</v>
      </c>
      <c r="G15" s="117"/>
      <c r="H15" s="118" t="s">
        <v>97</v>
      </c>
    </row>
    <row r="16" spans="1:8" ht="24.75" customHeight="1">
      <c r="A16" s="119" t="s">
        <v>140</v>
      </c>
      <c r="B16" s="105"/>
      <c r="C16" s="105"/>
      <c r="D16" s="105"/>
      <c r="E16" s="105"/>
      <c r="F16" s="105"/>
      <c r="G16" s="105"/>
      <c r="H16" s="106"/>
    </row>
    <row r="17" spans="1:8" ht="24.75" customHeight="1">
      <c r="A17" s="107" t="s">
        <v>216</v>
      </c>
      <c r="B17" s="105"/>
      <c r="C17" s="105"/>
      <c r="D17" s="105"/>
      <c r="E17" s="105"/>
      <c r="F17" s="105"/>
      <c r="G17" s="105"/>
      <c r="H17" s="106"/>
    </row>
    <row r="18" spans="1:8" ht="24.75" customHeight="1">
      <c r="A18" s="107" t="s">
        <v>217</v>
      </c>
      <c r="B18" s="105"/>
      <c r="C18" s="105"/>
      <c r="D18" s="105"/>
      <c r="E18" s="105"/>
      <c r="F18" s="105"/>
      <c r="G18" s="105"/>
      <c r="H18" s="106"/>
    </row>
    <row r="19" spans="1:8" ht="24.75" customHeight="1">
      <c r="A19" s="108"/>
      <c r="B19" s="109"/>
      <c r="C19" s="109"/>
      <c r="D19" s="109"/>
      <c r="E19" s="109"/>
      <c r="F19" s="109"/>
      <c r="G19" s="109"/>
      <c r="H19" s="110"/>
    </row>
    <row r="20" spans="1:8" ht="19.5" customHeight="1">
      <c r="A20" s="119" t="s">
        <v>143</v>
      </c>
      <c r="B20" s="105"/>
      <c r="C20" s="105"/>
      <c r="D20" s="105"/>
      <c r="E20" s="105"/>
      <c r="F20" s="105"/>
      <c r="G20" s="105"/>
      <c r="H20" s="106"/>
    </row>
    <row r="21" spans="1:8" ht="19.5" customHeight="1">
      <c r="A21" s="107" t="s">
        <v>218</v>
      </c>
      <c r="B21" s="105"/>
      <c r="C21" s="105"/>
      <c r="D21" s="105"/>
      <c r="E21" s="105"/>
      <c r="F21" s="105"/>
      <c r="G21" s="105"/>
      <c r="H21" s="106"/>
    </row>
    <row r="22" spans="1:8" ht="19.5" customHeight="1">
      <c r="A22" s="107" t="s">
        <v>219</v>
      </c>
      <c r="B22" s="105"/>
      <c r="C22" s="105"/>
      <c r="D22" s="105"/>
      <c r="E22" s="105"/>
      <c r="F22" s="105"/>
      <c r="G22" s="105"/>
      <c r="H22" s="106"/>
    </row>
    <row r="23" spans="1:8" ht="19.5" customHeight="1">
      <c r="A23" s="107" t="s">
        <v>220</v>
      </c>
      <c r="B23" s="105"/>
      <c r="C23" s="105"/>
      <c r="D23" s="105"/>
      <c r="E23" s="105"/>
      <c r="F23" s="105"/>
      <c r="G23" s="105"/>
      <c r="H23" s="106"/>
    </row>
    <row r="24" spans="1:8" ht="19.5" customHeight="1">
      <c r="A24" s="107"/>
      <c r="B24" s="105"/>
      <c r="C24" s="105"/>
      <c r="D24" s="105"/>
      <c r="E24" s="105"/>
      <c r="F24" s="105"/>
      <c r="G24" s="105"/>
      <c r="H24" s="106"/>
    </row>
    <row r="25" spans="1:8" ht="19.5" customHeight="1">
      <c r="A25" s="108"/>
      <c r="B25" s="109"/>
      <c r="C25" s="109"/>
      <c r="D25" s="109"/>
      <c r="E25" s="109"/>
      <c r="F25" s="109"/>
      <c r="G25" s="109"/>
      <c r="H25" s="110"/>
    </row>
    <row r="26" spans="1:8" ht="27" customHeight="1">
      <c r="A26" s="120" t="s">
        <v>147</v>
      </c>
      <c r="B26" s="116"/>
      <c r="C26" s="121"/>
      <c r="D26" s="117"/>
      <c r="E26" s="122"/>
      <c r="F26" s="123" t="s">
        <v>148</v>
      </c>
      <c r="G26" s="123" t="s">
        <v>149</v>
      </c>
      <c r="H26" s="124" t="s">
        <v>150</v>
      </c>
    </row>
    <row r="27" spans="1:8" ht="27" customHeight="1">
      <c r="A27" s="108" t="s">
        <v>221</v>
      </c>
      <c r="B27" s="109"/>
      <c r="C27" s="109"/>
      <c r="D27" s="109"/>
      <c r="E27" s="115"/>
      <c r="F27" s="125" t="s">
        <v>195</v>
      </c>
      <c r="G27" s="125" t="s">
        <v>186</v>
      </c>
      <c r="H27" s="126" t="s">
        <v>172</v>
      </c>
    </row>
    <row r="28" spans="1:8" ht="27" customHeight="1">
      <c r="A28" s="108" t="s">
        <v>222</v>
      </c>
      <c r="B28" s="109"/>
      <c r="C28" s="109"/>
      <c r="D28" s="109"/>
      <c r="E28" s="115"/>
      <c r="F28" s="125" t="s">
        <v>85</v>
      </c>
      <c r="G28" s="125" t="s">
        <v>175</v>
      </c>
      <c r="H28" s="126" t="s">
        <v>172</v>
      </c>
    </row>
    <row r="29" spans="1:8" ht="27" customHeight="1">
      <c r="A29" s="108" t="s">
        <v>223</v>
      </c>
      <c r="B29" s="109"/>
      <c r="C29" s="109"/>
      <c r="D29" s="109"/>
      <c r="E29" s="115"/>
      <c r="F29" s="125" t="s">
        <v>195</v>
      </c>
      <c r="G29" s="125" t="s">
        <v>224</v>
      </c>
      <c r="H29" s="126" t="s">
        <v>172</v>
      </c>
    </row>
    <row r="30" spans="1:8" ht="27" customHeight="1">
      <c r="A30" s="108"/>
      <c r="B30" s="109"/>
      <c r="C30" s="109"/>
      <c r="D30" s="109"/>
      <c r="E30" s="115"/>
      <c r="F30" s="125"/>
      <c r="G30" s="125"/>
      <c r="H30" s="126"/>
    </row>
    <row r="31" spans="1:8" ht="27" customHeight="1">
      <c r="A31" s="108"/>
      <c r="B31" s="109"/>
      <c r="C31" s="109"/>
      <c r="D31" s="109"/>
      <c r="E31" s="115"/>
      <c r="F31" s="125"/>
      <c r="G31" s="125"/>
      <c r="H31" s="126"/>
    </row>
    <row r="32" spans="1:8" ht="27" customHeight="1">
      <c r="A32" s="108"/>
      <c r="B32" s="109"/>
      <c r="C32" s="109"/>
      <c r="D32" s="109"/>
      <c r="E32" s="115"/>
      <c r="F32" s="125"/>
      <c r="G32" s="125"/>
      <c r="H32" s="126"/>
    </row>
    <row r="33" spans="1:8" ht="27" customHeight="1">
      <c r="A33" s="108"/>
      <c r="B33" s="109"/>
      <c r="C33" s="109"/>
      <c r="D33" s="109"/>
      <c r="E33" s="115"/>
      <c r="F33" s="125"/>
      <c r="G33" s="125"/>
      <c r="H33" s="126"/>
    </row>
    <row r="34" spans="1:8" ht="27" customHeight="1">
      <c r="A34" s="108"/>
      <c r="B34" s="109"/>
      <c r="C34" s="109"/>
      <c r="D34" s="109"/>
      <c r="E34" s="115"/>
      <c r="F34" s="125"/>
      <c r="G34" s="125"/>
      <c r="H34" s="126"/>
    </row>
    <row r="35" spans="1:8" ht="27" customHeight="1">
      <c r="A35" s="108"/>
      <c r="B35" s="109"/>
      <c r="C35" s="109"/>
      <c r="D35" s="109"/>
      <c r="E35" s="115"/>
      <c r="F35" s="125"/>
      <c r="G35" s="125"/>
      <c r="H35" s="126"/>
    </row>
    <row r="36" spans="1:8" ht="27" customHeight="1">
      <c r="A36" s="108"/>
      <c r="B36" s="109"/>
      <c r="C36" s="109"/>
      <c r="D36" s="109"/>
      <c r="E36" s="115"/>
      <c r="F36" s="125"/>
      <c r="G36" s="125"/>
      <c r="H36" s="126"/>
    </row>
    <row r="37" spans="1:8" ht="27" customHeight="1">
      <c r="A37" s="108"/>
      <c r="B37" s="109"/>
      <c r="C37" s="109"/>
      <c r="D37" s="109"/>
      <c r="E37" s="115"/>
      <c r="F37" s="125"/>
      <c r="G37" s="125"/>
      <c r="H37" s="126"/>
    </row>
    <row r="38" spans="1:8" ht="27" customHeight="1">
      <c r="A38" s="108"/>
      <c r="B38" s="109"/>
      <c r="C38" s="109"/>
      <c r="D38" s="109"/>
      <c r="E38" s="115"/>
      <c r="F38" s="125"/>
      <c r="G38" s="125"/>
      <c r="H38" s="126"/>
    </row>
    <row r="39" spans="1:8" ht="27" customHeight="1">
      <c r="A39" s="108"/>
      <c r="B39" s="109"/>
      <c r="C39" s="109"/>
      <c r="D39" s="109"/>
      <c r="E39" s="115"/>
      <c r="F39" s="127"/>
      <c r="G39" s="127"/>
      <c r="H39" s="128"/>
    </row>
    <row r="40" spans="1:8" ht="18.75" customHeight="1">
      <c r="A40" s="160" t="s">
        <v>226</v>
      </c>
      <c r="B40" s="129" t="s">
        <v>58</v>
      </c>
      <c r="C40" s="130"/>
      <c r="D40" s="130"/>
      <c r="E40" s="158" t="s">
        <v>160</v>
      </c>
      <c r="F40" s="129"/>
      <c r="G40" s="130" t="s">
        <v>85</v>
      </c>
      <c r="H40" s="131"/>
    </row>
    <row r="41" spans="1:8" ht="18.75" customHeight="1">
      <c r="A41" s="161" t="s">
        <v>161</v>
      </c>
      <c r="B41" s="156">
        <v>46307</v>
      </c>
      <c r="C41" s="156"/>
      <c r="D41" s="133"/>
      <c r="E41" s="159" t="s">
        <v>161</v>
      </c>
      <c r="F41" s="132"/>
      <c r="G41" s="156">
        <v>46308</v>
      </c>
      <c r="H41" s="157"/>
    </row>
  </sheetData>
  <mergeCells count="4">
    <mergeCell ref="E6:H6"/>
    <mergeCell ref="A9:H13"/>
    <mergeCell ref="B41:C41"/>
    <mergeCell ref="G41:H41"/>
  </mergeCells>
  <printOptions horizontalCentered="1" verticalCentered="1"/>
  <pageMargins left="0.196527777777778" right="0" top="0" bottom="0"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Hojas de cálculo</vt:lpstr>
      </vt:variant>
      <vt:variant>
        <vt:i4>7</vt:i4>
      </vt:variant>
      <vt:variant>
        <vt:lpstr>Rangos con nombre</vt:lpstr>
      </vt:variant>
      <vt:variant>
        <vt:i4>1</vt:i4>
      </vt:variant>
    </vt:vector>
  </HeadingPairs>
  <TitlesOfParts>
    <vt:vector size="8" baseType="lpstr">
      <vt:lpstr>Listado de riesgos</vt:lpstr>
      <vt:lpstr>PRR 1</vt:lpstr>
      <vt:lpstr>PRR 2</vt:lpstr>
      <vt:lpstr>PRR 3</vt:lpstr>
      <vt:lpstr>PRR 4</vt:lpstr>
      <vt:lpstr>PRR 5</vt:lpstr>
      <vt:lpstr>PRR 6</vt:lpstr>
      <vt:lpstr>'PRR 1'!Área_de_impresión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Roberto Cadena</dc:creator>
  <dc:description/>
  <cp:lastModifiedBy>Iván García Garza</cp:lastModifiedBy>
  <cp:revision>0</cp:revision>
  <dcterms:created xsi:type="dcterms:W3CDTF">2010-12-04T17:11:08Z</dcterms:created>
  <dcterms:modified xsi:type="dcterms:W3CDTF">2026-10-12T19:06:07Z</dcterms:modified>
  <dc:language>en-US</dc:language>
</cp:coreProperties>
</file>